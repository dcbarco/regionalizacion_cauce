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Impacto beneficiarios por zona" sheetId="2" r:id="rId6"/>
  </sheets>
  <definedNames/>
  <calcPr/>
</workbook>
</file>

<file path=xl/sharedStrings.xml><?xml version="1.0" encoding="utf-8"?>
<sst xmlns="http://schemas.openxmlformats.org/spreadsheetml/2006/main" count="1378" uniqueCount="213">
  <si>
    <t>ESTRATEGIA</t>
  </si>
  <si>
    <t>FACULTAD</t>
  </si>
  <si>
    <t>SNIES</t>
  </si>
  <si>
    <t>PROGRAMA</t>
  </si>
  <si>
    <t xml:space="preserve">I.E. </t>
  </si>
  <si>
    <t>2023-1</t>
  </si>
  <si>
    <t>2023-2</t>
  </si>
  <si>
    <t>2024-1</t>
  </si>
  <si>
    <t>2024-2</t>
  </si>
  <si>
    <t>2025-1</t>
  </si>
  <si>
    <t>2025-2</t>
  </si>
  <si>
    <t>TOTAL</t>
  </si>
  <si>
    <t>DPTO</t>
  </si>
  <si>
    <t>MPIO</t>
  </si>
  <si>
    <t>ZONA</t>
  </si>
  <si>
    <t xml:space="preserve">U EN EL CAMPO </t>
  </si>
  <si>
    <t>AGROPECUARIAS</t>
  </si>
  <si>
    <t>T.P. en Saneamiento Ambiental</t>
  </si>
  <si>
    <t>I.E. Dokabu</t>
  </si>
  <si>
    <t>RISARALDA</t>
  </si>
  <si>
    <t>Santa Cecilia</t>
  </si>
  <si>
    <t>OCCIDENTE</t>
  </si>
  <si>
    <t xml:space="preserve">IE Mistrató </t>
  </si>
  <si>
    <t>Mistrató</t>
  </si>
  <si>
    <t>NORTE</t>
  </si>
  <si>
    <t>I.E. Dachi Dada Kera</t>
  </si>
  <si>
    <t>I.E. Ocuzca Grupos 1 y 2</t>
  </si>
  <si>
    <t xml:space="preserve">CALDAS </t>
  </si>
  <si>
    <t>Anserma</t>
  </si>
  <si>
    <t>I.E. Naranjal</t>
  </si>
  <si>
    <t>Chinchiná</t>
  </si>
  <si>
    <t>CENTRO SUR</t>
  </si>
  <si>
    <t xml:space="preserve">IE La Estrella </t>
  </si>
  <si>
    <t>Norcasia</t>
  </si>
  <si>
    <t>ORIENTE</t>
  </si>
  <si>
    <t>I.E. San Peregrino</t>
  </si>
  <si>
    <t>Manizales</t>
  </si>
  <si>
    <t>I.E. Encimadas</t>
  </si>
  <si>
    <t>Aguadas</t>
  </si>
  <si>
    <t xml:space="preserve">IE Felix Naranjo </t>
  </si>
  <si>
    <t>Samaná</t>
  </si>
  <si>
    <t>I.E. Rancho Largo</t>
  </si>
  <si>
    <t>T.P. en Producción Agrícola</t>
  </si>
  <si>
    <t>IE Pio Xii</t>
  </si>
  <si>
    <t xml:space="preserve">IE Santagueda </t>
  </si>
  <si>
    <t>Palestina</t>
  </si>
  <si>
    <t>I.E. La Libertad</t>
  </si>
  <si>
    <t>San José</t>
  </si>
  <si>
    <t xml:space="preserve">IE Hojas Anchas </t>
  </si>
  <si>
    <t>Supia</t>
  </si>
  <si>
    <t>Tecnología en Gestión Ambiental</t>
  </si>
  <si>
    <t>IE Cañaveral</t>
  </si>
  <si>
    <t>Victoria</t>
  </si>
  <si>
    <t>T.P. en Formulación e Implementación de Proyectos Agropecuarios</t>
  </si>
  <si>
    <t>I.E. Patio Bonito</t>
  </si>
  <si>
    <t>La Celia</t>
  </si>
  <si>
    <t>I.E. Dokabu Cuna Gitó</t>
  </si>
  <si>
    <t>Quinchía</t>
  </si>
  <si>
    <t>IE Santo Domingo Savio</t>
  </si>
  <si>
    <t>Balboa</t>
  </si>
  <si>
    <t>CENTRO</t>
  </si>
  <si>
    <t>IE Eduardo Correa</t>
  </si>
  <si>
    <t>Dosquebradas</t>
  </si>
  <si>
    <t>IE Alto Cauca</t>
  </si>
  <si>
    <t>Marsella</t>
  </si>
  <si>
    <t>IE Inmaculada</t>
  </si>
  <si>
    <t xml:space="preserve">IE Dachi Dada Kera </t>
  </si>
  <si>
    <t xml:space="preserve">Pueblo Rico </t>
  </si>
  <si>
    <t>IE Dokabu - Cuna Gito</t>
  </si>
  <si>
    <t xml:space="preserve">IE San Andrés </t>
  </si>
  <si>
    <t xml:space="preserve">Quinchía </t>
  </si>
  <si>
    <t>IE Ocuzca</t>
  </si>
  <si>
    <t xml:space="preserve">IE Llanadas </t>
  </si>
  <si>
    <t xml:space="preserve">La Merced </t>
  </si>
  <si>
    <t xml:space="preserve">IE Francisco José de Caldas </t>
  </si>
  <si>
    <t>Risaralda</t>
  </si>
  <si>
    <t xml:space="preserve">T.P. en en Producción Cafetera </t>
  </si>
  <si>
    <t>IE Tambores</t>
  </si>
  <si>
    <t xml:space="preserve">IE Taparcal </t>
  </si>
  <si>
    <t>Belén de Umbria</t>
  </si>
  <si>
    <t>IE Santa Ana</t>
  </si>
  <si>
    <t>Guática</t>
  </si>
  <si>
    <t xml:space="preserve">IE Miracampos </t>
  </si>
  <si>
    <t>IE Miguel Antonio Caro</t>
  </si>
  <si>
    <t>IE La Linda</t>
  </si>
  <si>
    <t xml:space="preserve">IE Giovanny Montini </t>
  </si>
  <si>
    <t>IE San Peregrino</t>
  </si>
  <si>
    <t>IE Maria Goretti- Vioeta</t>
  </si>
  <si>
    <t>IE Cabaña y Granada</t>
  </si>
  <si>
    <t>Universidad de Caldas - Luker</t>
  </si>
  <si>
    <t>IE Encimadas - Sede Universidad de Caldas</t>
  </si>
  <si>
    <t xml:space="preserve">IE Partidas </t>
  </si>
  <si>
    <t>Villamaría</t>
  </si>
  <si>
    <t>U EN TU COLEGIO</t>
  </si>
  <si>
    <t>I.E. INEM Baldomero Sanin Cano</t>
  </si>
  <si>
    <t>IA E INGENIERIAS</t>
  </si>
  <si>
    <t>T.P. en Operaciones de la Cadena Logística</t>
  </si>
  <si>
    <t>I.E. Instituto Universitario de Caldas</t>
  </si>
  <si>
    <t>Universidad de Caldas</t>
  </si>
  <si>
    <t>T.P. en Programación Web</t>
  </si>
  <si>
    <t>I.E. Estambul</t>
  </si>
  <si>
    <t>ARTES</t>
  </si>
  <si>
    <t>T.P. en Marketing Digital</t>
  </si>
  <si>
    <t xml:space="preserve">IE Universitario </t>
  </si>
  <si>
    <t>T.P. en Depuración y Procesamiento de Datos para la Inteligencia Artificial</t>
  </si>
  <si>
    <t>IE Malabar</t>
  </si>
  <si>
    <t>T.P. en Seguridad y Salud en el Trabajo</t>
  </si>
  <si>
    <t>IE Latinoamaericano</t>
  </si>
  <si>
    <t>IE Fe y Alegria</t>
  </si>
  <si>
    <t xml:space="preserve">IE La Sultana </t>
  </si>
  <si>
    <t>IE Enae</t>
  </si>
  <si>
    <t xml:space="preserve">IE Asuncion </t>
  </si>
  <si>
    <t>IE Leon de greiff</t>
  </si>
  <si>
    <t xml:space="preserve">IE Santo Domingo </t>
  </si>
  <si>
    <t>T.P. en Programación para Videojuegos</t>
  </si>
  <si>
    <t>IE San pio X</t>
  </si>
  <si>
    <t>U EN TU PUEBLO</t>
  </si>
  <si>
    <t>I.E. Guarinocito</t>
  </si>
  <si>
    <t>La Dorada</t>
  </si>
  <si>
    <t>I.E. El Carmen</t>
  </si>
  <si>
    <t>I.E. Alfonso López</t>
  </si>
  <si>
    <t>I.E. Renán Barco</t>
  </si>
  <si>
    <t>I.E. Monseñor Alfonso de Los Ríos</t>
  </si>
  <si>
    <t>I.E. Sagrada Familia</t>
  </si>
  <si>
    <t>Anserma - Ceres</t>
  </si>
  <si>
    <t>T.P. en Producción Cafetera</t>
  </si>
  <si>
    <t>Riosucio - Ceres</t>
  </si>
  <si>
    <t>Riosucio</t>
  </si>
  <si>
    <t>EXACTAS</t>
  </si>
  <si>
    <t>T.P. en Sistemas de Energias Renovables</t>
  </si>
  <si>
    <t>IE El Carmen</t>
  </si>
  <si>
    <t>IE Renan Barco</t>
  </si>
  <si>
    <t>IE Guarinocito</t>
  </si>
  <si>
    <t>IE Alfonso Lopez</t>
  </si>
  <si>
    <t>T.P. en Procesamiento Agroindustrial</t>
  </si>
  <si>
    <t>T.P. en Programación para Dispositivos Móviles</t>
  </si>
  <si>
    <t>IE Normal Claudina Munera</t>
  </si>
  <si>
    <t>IE Liceo Claudina Munera</t>
  </si>
  <si>
    <t>IE Roberto Pelaez</t>
  </si>
  <si>
    <t>IE Marino Gómez</t>
  </si>
  <si>
    <t>IE Alfonso de los Ríos</t>
  </si>
  <si>
    <t>T.P. en Programación para Video Juegos</t>
  </si>
  <si>
    <t>IE Sagrada Familia</t>
  </si>
  <si>
    <t>T.P. en Instalación de Sistemas de Redes Eléctricas de Media y Baja Tensión</t>
  </si>
  <si>
    <t>IE Santa Teresita</t>
  </si>
  <si>
    <t>IE Nuestra Sra del Rosario</t>
  </si>
  <si>
    <t>Neira</t>
  </si>
  <si>
    <t>IE Marco Fidel Suárez</t>
  </si>
  <si>
    <t>Pacora</t>
  </si>
  <si>
    <t>IE La Presentacion</t>
  </si>
  <si>
    <t>Salamina</t>
  </si>
  <si>
    <t>IE Bonafont</t>
  </si>
  <si>
    <t>IE San Jerónimo</t>
  </si>
  <si>
    <t>IE Manzanares</t>
  </si>
  <si>
    <t>Manzanares</t>
  </si>
  <si>
    <t>IE Gerardo Maria Mayela</t>
  </si>
  <si>
    <t>IE San Agustin</t>
  </si>
  <si>
    <t>IE San Pablo</t>
  </si>
  <si>
    <t>IE Gerardo Arias</t>
  </si>
  <si>
    <t>IE Jaime Duque</t>
  </si>
  <si>
    <t>IE Santa Luisa de Marillac</t>
  </si>
  <si>
    <t>IE Gomez Fernadez</t>
  </si>
  <si>
    <t>T.P. en Expresión Artística, Corporal y Vocal para la Escena</t>
  </si>
  <si>
    <t>I.E. Normal Superior Rebeca Sierra</t>
  </si>
  <si>
    <t>IE Normal Superior Sagrado Corazon</t>
  </si>
  <si>
    <t>Aranzazu</t>
  </si>
  <si>
    <t>IE Cristo Rey</t>
  </si>
  <si>
    <t>Belalcazar</t>
  </si>
  <si>
    <t>IE San Francisco de Paula</t>
  </si>
  <si>
    <t>IE Filadelfia</t>
  </si>
  <si>
    <t>Filadelfia</t>
  </si>
  <si>
    <t>IE Dorada</t>
  </si>
  <si>
    <t>Escuela de carabineros Alejandro Gutiérrez</t>
  </si>
  <si>
    <t>IE EL ROSARIO</t>
  </si>
  <si>
    <t>IE MANZANARES</t>
  </si>
  <si>
    <t xml:space="preserve">IE Ramón Marin </t>
  </si>
  <si>
    <t>Marmato</t>
  </si>
  <si>
    <t>IE Normal Ntra Sra de la Candelaria</t>
  </si>
  <si>
    <t>Marquetalia</t>
  </si>
  <si>
    <t>IE INAYÁ</t>
  </si>
  <si>
    <t>VAUPÉS</t>
  </si>
  <si>
    <t>MITÚ</t>
  </si>
  <si>
    <t>PAÍS</t>
  </si>
  <si>
    <t>T.P. en en Formulación e Implementación de Proyectos Agropecuarios</t>
  </si>
  <si>
    <t>T.P. en Soporte para el Aseguramiento y Control de la Calidad</t>
  </si>
  <si>
    <t>IE Escuela Normal Superior San Jose</t>
  </si>
  <si>
    <t>I.E Escuela Normal Superior Sagrado Corazón</t>
  </si>
  <si>
    <t>T.P. en Procesamiento de Café y Cacao</t>
  </si>
  <si>
    <t>IE María Inmaculada</t>
  </si>
  <si>
    <t>IE Normal Superior María Escolástica</t>
  </si>
  <si>
    <t>IE Supia</t>
  </si>
  <si>
    <t>IE San Victor - EGRESADOS</t>
  </si>
  <si>
    <t>CEFID - EGRESADOS</t>
  </si>
  <si>
    <t>Viterbo</t>
  </si>
  <si>
    <t>Universidad de Caldas - EGRESADOS</t>
  </si>
  <si>
    <t>T.P. en Análisis y Reporte de Datos</t>
  </si>
  <si>
    <t>EMAO - EGRESADOS</t>
  </si>
  <si>
    <t>Cruz Roja Colombiana - EGRESADOS</t>
  </si>
  <si>
    <t>IE Nazario Restrepo</t>
  </si>
  <si>
    <t>Sede</t>
  </si>
  <si>
    <t>Subregion - Región</t>
  </si>
  <si>
    <t>Zonas impactadas</t>
  </si>
  <si>
    <t>Impacto</t>
  </si>
  <si>
    <t>Centro y Centro-sur</t>
  </si>
  <si>
    <t>Balboa, Chinchiná, Dosquebradas, Manizales, Marsella, Palestina, Villamaría, y Neira.</t>
  </si>
  <si>
    <t>Norte</t>
  </si>
  <si>
    <t xml:space="preserve"> Aguadas, Pácora, Salamina, Filadelfia, La Merced y Aranzazu</t>
  </si>
  <si>
    <t>Occidente</t>
  </si>
  <si>
    <t>Marmato, Riosucio, Supía, Anserma, Belalcázar, Risaralda, San José y Viterbo</t>
  </si>
  <si>
    <t>Oriente</t>
  </si>
  <si>
    <t>Manzanares, Marquetalia, Marulanda, Pensilvania, La Dorada, Norcasia, Samaná y Victoria</t>
  </si>
  <si>
    <t>País</t>
  </si>
  <si>
    <t>Mitú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</si>
</sst>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sz val="10.0"/>
      <color rgb="FF000000"/>
      <name val="Times New Roman"/>
    </font>
    <font>
      <sz val="10.0"/>
      <color rgb="FFFF0000"/>
      <name val="Times New Roman"/>
    </font>
    <font>
      <b/>
      <sz val="10.0"/>
      <color rgb="FFFF0000"/>
      <name val="Times New Roman"/>
    </font>
    <font>
      <b/>
      <sz val="11.0"/>
      <color theme="1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11.0"/>
      <color rgb="FF000000"/>
      <name val="Roboto"/>
    </font>
    <font/>
    <font>
      <sz val="11.0"/>
      <color rgb="FFFF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1" fillId="2" fontId="1" numFmtId="0" xfId="0" applyAlignment="1" applyBorder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1" numFmtId="0" xfId="0" applyFont="1"/>
    <xf borderId="0" fillId="0" fontId="1" numFmtId="0" xfId="0" applyAlignment="1" applyFont="1">
      <alignment horizontal="center"/>
    </xf>
    <xf borderId="1" fillId="3" fontId="5" numFmtId="0" xfId="0" applyAlignment="1" applyBorder="1" applyFill="1" applyFont="1">
      <alignment horizontal="center" vertical="top"/>
    </xf>
    <xf borderId="1" fillId="2" fontId="5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Font="1"/>
    <xf borderId="2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10" numFmtId="0" xfId="0" applyBorder="1" applyFont="1"/>
    <xf borderId="5" fillId="0" fontId="10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1.14"/>
    <col customWidth="1" min="3" max="3" width="17.43"/>
    <col customWidth="1" min="4" max="4" width="14.14"/>
    <col customWidth="1" min="5" max="5" width="62.14"/>
    <col customWidth="1" min="6" max="6" width="41.29"/>
    <col customWidth="1" min="7" max="13" width="15.29"/>
    <col customWidth="1" min="14" max="14" width="18.86"/>
    <col customWidth="1" min="15" max="15" width="14.43"/>
    <col customWidth="1" min="16" max="16" width="13.57"/>
    <col customWidth="1" min="17" max="26" width="10.71"/>
  </cols>
  <sheetData>
    <row r="1" ht="1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4" t="s">
        <v>15</v>
      </c>
      <c r="C2" s="1" t="s">
        <v>16</v>
      </c>
      <c r="D2" s="5">
        <v>104643.0</v>
      </c>
      <c r="E2" s="1" t="s">
        <v>17</v>
      </c>
      <c r="F2" s="6" t="s">
        <v>18</v>
      </c>
      <c r="G2" s="7">
        <v>21.0</v>
      </c>
      <c r="H2" s="7">
        <v>0.0</v>
      </c>
      <c r="I2" s="7">
        <v>0.0</v>
      </c>
      <c r="J2" s="5">
        <v>0.0</v>
      </c>
      <c r="K2" s="5">
        <v>0.0</v>
      </c>
      <c r="L2" s="5">
        <v>0.0</v>
      </c>
      <c r="M2" s="8">
        <f t="shared" ref="M2:M193" si="1">SUM(G2:L2)</f>
        <v>21</v>
      </c>
      <c r="N2" s="6" t="s">
        <v>19</v>
      </c>
      <c r="O2" s="6" t="s">
        <v>20</v>
      </c>
      <c r="P2" s="1" t="s">
        <v>21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4" t="s">
        <v>15</v>
      </c>
      <c r="C3" s="1" t="s">
        <v>16</v>
      </c>
      <c r="D3" s="5">
        <v>104643.0</v>
      </c>
      <c r="E3" s="1" t="s">
        <v>17</v>
      </c>
      <c r="F3" s="4" t="s">
        <v>22</v>
      </c>
      <c r="G3" s="7">
        <v>27.0</v>
      </c>
      <c r="H3" s="7">
        <v>0.0</v>
      </c>
      <c r="I3" s="7">
        <v>0.0</v>
      </c>
      <c r="J3" s="5">
        <v>0.0</v>
      </c>
      <c r="K3" s="5">
        <v>0.0</v>
      </c>
      <c r="L3" s="5">
        <v>0.0</v>
      </c>
      <c r="M3" s="8">
        <f t="shared" si="1"/>
        <v>27</v>
      </c>
      <c r="N3" s="4" t="s">
        <v>19</v>
      </c>
      <c r="O3" s="6" t="s">
        <v>23</v>
      </c>
      <c r="P3" s="1" t="s">
        <v>24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4" t="s">
        <v>15</v>
      </c>
      <c r="C4" s="1" t="s">
        <v>16</v>
      </c>
      <c r="D4" s="5">
        <v>104643.0</v>
      </c>
      <c r="E4" s="1" t="s">
        <v>17</v>
      </c>
      <c r="F4" s="6" t="s">
        <v>25</v>
      </c>
      <c r="G4" s="7">
        <v>39.0</v>
      </c>
      <c r="H4" s="7">
        <v>0.0</v>
      </c>
      <c r="I4" s="7">
        <v>0.0</v>
      </c>
      <c r="J4" s="5">
        <v>0.0</v>
      </c>
      <c r="K4" s="5">
        <v>0.0</v>
      </c>
      <c r="L4" s="5">
        <v>0.0</v>
      </c>
      <c r="M4" s="8">
        <f t="shared" si="1"/>
        <v>39</v>
      </c>
      <c r="N4" s="6" t="s">
        <v>19</v>
      </c>
      <c r="O4" s="6" t="s">
        <v>20</v>
      </c>
      <c r="P4" s="1" t="s">
        <v>21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" t="s">
        <v>15</v>
      </c>
      <c r="C5" s="1" t="s">
        <v>16</v>
      </c>
      <c r="D5" s="5">
        <v>104643.0</v>
      </c>
      <c r="E5" s="1" t="s">
        <v>17</v>
      </c>
      <c r="F5" s="6" t="s">
        <v>26</v>
      </c>
      <c r="G5" s="5">
        <v>0.0</v>
      </c>
      <c r="H5" s="7">
        <v>53.0</v>
      </c>
      <c r="I5" s="7">
        <v>0.0</v>
      </c>
      <c r="J5" s="5">
        <v>0.0</v>
      </c>
      <c r="K5" s="5">
        <v>0.0</v>
      </c>
      <c r="L5" s="5">
        <v>0.0</v>
      </c>
      <c r="M5" s="8">
        <f t="shared" si="1"/>
        <v>53</v>
      </c>
      <c r="N5" s="4" t="s">
        <v>27</v>
      </c>
      <c r="O5" s="6" t="s">
        <v>28</v>
      </c>
      <c r="P5" s="1" t="s">
        <v>21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4" t="s">
        <v>15</v>
      </c>
      <c r="C6" s="1" t="s">
        <v>16</v>
      </c>
      <c r="D6" s="5">
        <v>104643.0</v>
      </c>
      <c r="E6" s="1" t="s">
        <v>17</v>
      </c>
      <c r="F6" s="6" t="s">
        <v>29</v>
      </c>
      <c r="G6" s="5">
        <v>0.0</v>
      </c>
      <c r="H6" s="7">
        <v>34.0</v>
      </c>
      <c r="I6" s="7">
        <v>0.0</v>
      </c>
      <c r="J6" s="5">
        <v>0.0</v>
      </c>
      <c r="K6" s="5">
        <v>0.0</v>
      </c>
      <c r="L6" s="5">
        <v>0.0</v>
      </c>
      <c r="M6" s="8">
        <f t="shared" si="1"/>
        <v>34</v>
      </c>
      <c r="N6" s="4" t="s">
        <v>27</v>
      </c>
      <c r="O6" s="6" t="s">
        <v>30</v>
      </c>
      <c r="P6" s="6" t="s">
        <v>31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15</v>
      </c>
      <c r="C7" s="1" t="s">
        <v>16</v>
      </c>
      <c r="D7" s="5">
        <v>104643.0</v>
      </c>
      <c r="E7" s="1" t="s">
        <v>17</v>
      </c>
      <c r="F7" s="4" t="s">
        <v>32</v>
      </c>
      <c r="G7" s="5">
        <v>0.0</v>
      </c>
      <c r="H7" s="7">
        <v>0.0</v>
      </c>
      <c r="I7" s="7">
        <v>0.0</v>
      </c>
      <c r="J7" s="5">
        <v>0.0</v>
      </c>
      <c r="K7" s="5">
        <v>0.0</v>
      </c>
      <c r="L7" s="5">
        <v>0.0</v>
      </c>
      <c r="M7" s="8">
        <f t="shared" si="1"/>
        <v>0</v>
      </c>
      <c r="N7" s="4" t="s">
        <v>27</v>
      </c>
      <c r="O7" s="6" t="s">
        <v>33</v>
      </c>
      <c r="P7" s="1" t="s">
        <v>34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" t="s">
        <v>15</v>
      </c>
      <c r="C8" s="1" t="s">
        <v>16</v>
      </c>
      <c r="D8" s="5">
        <v>104643.0</v>
      </c>
      <c r="E8" s="1" t="s">
        <v>17</v>
      </c>
      <c r="F8" s="6" t="s">
        <v>35</v>
      </c>
      <c r="G8" s="5">
        <v>0.0</v>
      </c>
      <c r="H8" s="7">
        <v>18.0</v>
      </c>
      <c r="I8" s="7">
        <v>0.0</v>
      </c>
      <c r="J8" s="5">
        <v>0.0</v>
      </c>
      <c r="K8" s="5">
        <v>0.0</v>
      </c>
      <c r="L8" s="5">
        <v>0.0</v>
      </c>
      <c r="M8" s="8">
        <f t="shared" si="1"/>
        <v>18</v>
      </c>
      <c r="N8" s="4" t="s">
        <v>27</v>
      </c>
      <c r="O8" s="6" t="s">
        <v>36</v>
      </c>
      <c r="P8" s="1" t="s">
        <v>31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4" t="s">
        <v>15</v>
      </c>
      <c r="C9" s="1" t="s">
        <v>16</v>
      </c>
      <c r="D9" s="5">
        <v>104643.0</v>
      </c>
      <c r="E9" s="1" t="s">
        <v>17</v>
      </c>
      <c r="F9" s="6" t="s">
        <v>37</v>
      </c>
      <c r="G9" s="5">
        <v>0.0</v>
      </c>
      <c r="H9" s="7">
        <v>22.0</v>
      </c>
      <c r="I9" s="7">
        <v>0.0</v>
      </c>
      <c r="J9" s="5">
        <v>0.0</v>
      </c>
      <c r="K9" s="5">
        <v>0.0</v>
      </c>
      <c r="L9" s="5">
        <v>0.0</v>
      </c>
      <c r="M9" s="8">
        <f t="shared" si="1"/>
        <v>22</v>
      </c>
      <c r="N9" s="4" t="s">
        <v>27</v>
      </c>
      <c r="O9" s="6" t="s">
        <v>38</v>
      </c>
      <c r="P9" s="1" t="s">
        <v>24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4" t="s">
        <v>15</v>
      </c>
      <c r="C10" s="1" t="s">
        <v>16</v>
      </c>
      <c r="D10" s="5">
        <v>104643.0</v>
      </c>
      <c r="E10" s="1" t="s">
        <v>17</v>
      </c>
      <c r="F10" s="4" t="s">
        <v>39</v>
      </c>
      <c r="G10" s="5">
        <v>0.0</v>
      </c>
      <c r="H10" s="7">
        <v>0.0</v>
      </c>
      <c r="I10" s="7">
        <v>0.0</v>
      </c>
      <c r="J10" s="5">
        <v>0.0</v>
      </c>
      <c r="K10" s="5">
        <v>0.0</v>
      </c>
      <c r="L10" s="5">
        <v>0.0</v>
      </c>
      <c r="M10" s="8">
        <f t="shared" si="1"/>
        <v>0</v>
      </c>
      <c r="N10" s="4" t="s">
        <v>27</v>
      </c>
      <c r="O10" s="6" t="s">
        <v>40</v>
      </c>
      <c r="P10" s="1" t="s">
        <v>34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4" t="s">
        <v>15</v>
      </c>
      <c r="C11" s="1" t="s">
        <v>16</v>
      </c>
      <c r="D11" s="5">
        <v>104643.0</v>
      </c>
      <c r="E11" s="1" t="s">
        <v>17</v>
      </c>
      <c r="F11" s="6" t="s">
        <v>41</v>
      </c>
      <c r="G11" s="5">
        <v>0.0</v>
      </c>
      <c r="H11" s="7">
        <v>25.0</v>
      </c>
      <c r="I11" s="7">
        <v>0.0</v>
      </c>
      <c r="J11" s="5">
        <v>0.0</v>
      </c>
      <c r="K11" s="5">
        <v>0.0</v>
      </c>
      <c r="L11" s="5">
        <v>0.0</v>
      </c>
      <c r="M11" s="8">
        <f t="shared" si="1"/>
        <v>25</v>
      </c>
      <c r="N11" s="4" t="s">
        <v>27</v>
      </c>
      <c r="O11" s="6" t="s">
        <v>40</v>
      </c>
      <c r="P11" s="1" t="s">
        <v>34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" t="s">
        <v>15</v>
      </c>
      <c r="C12" s="1" t="s">
        <v>16</v>
      </c>
      <c r="D12" s="5">
        <v>104641.0</v>
      </c>
      <c r="E12" s="4" t="s">
        <v>42</v>
      </c>
      <c r="F12" s="4" t="s">
        <v>43</v>
      </c>
      <c r="G12" s="5">
        <v>0.0</v>
      </c>
      <c r="H12" s="7">
        <v>28.0</v>
      </c>
      <c r="I12" s="7">
        <v>0.0</v>
      </c>
      <c r="J12" s="5">
        <v>0.0</v>
      </c>
      <c r="K12" s="5">
        <v>0.0</v>
      </c>
      <c r="L12" s="5">
        <v>0.0</v>
      </c>
      <c r="M12" s="8">
        <f t="shared" si="1"/>
        <v>28</v>
      </c>
      <c r="N12" s="4" t="s">
        <v>27</v>
      </c>
      <c r="O12" s="6" t="s">
        <v>40</v>
      </c>
      <c r="P12" s="1" t="s">
        <v>34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4" t="s">
        <v>15</v>
      </c>
      <c r="C13" s="1" t="s">
        <v>16</v>
      </c>
      <c r="D13" s="5">
        <v>104641.0</v>
      </c>
      <c r="E13" s="4" t="s">
        <v>42</v>
      </c>
      <c r="F13" s="4" t="s">
        <v>44</v>
      </c>
      <c r="G13" s="5">
        <v>0.0</v>
      </c>
      <c r="H13" s="7">
        <v>25.0</v>
      </c>
      <c r="I13" s="7">
        <v>0.0</v>
      </c>
      <c r="J13" s="5">
        <v>0.0</v>
      </c>
      <c r="K13" s="5">
        <v>0.0</v>
      </c>
      <c r="L13" s="5">
        <v>0.0</v>
      </c>
      <c r="M13" s="8">
        <f t="shared" si="1"/>
        <v>25</v>
      </c>
      <c r="N13" s="4" t="s">
        <v>27</v>
      </c>
      <c r="O13" s="6" t="s">
        <v>45</v>
      </c>
      <c r="P13" s="1" t="s">
        <v>31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4" t="s">
        <v>15</v>
      </c>
      <c r="C14" s="1" t="s">
        <v>16</v>
      </c>
      <c r="D14" s="5">
        <v>104641.0</v>
      </c>
      <c r="E14" s="4" t="s">
        <v>42</v>
      </c>
      <c r="F14" s="6" t="s">
        <v>46</v>
      </c>
      <c r="G14" s="5">
        <v>0.0</v>
      </c>
      <c r="H14" s="7">
        <v>19.0</v>
      </c>
      <c r="I14" s="7">
        <v>0.0</v>
      </c>
      <c r="J14" s="5">
        <v>0.0</v>
      </c>
      <c r="K14" s="5">
        <v>0.0</v>
      </c>
      <c r="L14" s="5">
        <v>0.0</v>
      </c>
      <c r="M14" s="8">
        <f t="shared" si="1"/>
        <v>19</v>
      </c>
      <c r="N14" s="4" t="s">
        <v>27</v>
      </c>
      <c r="O14" s="6" t="s">
        <v>47</v>
      </c>
      <c r="P14" s="6" t="s">
        <v>21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" t="s">
        <v>15</v>
      </c>
      <c r="C15" s="1" t="s">
        <v>16</v>
      </c>
      <c r="D15" s="5">
        <v>104641.0</v>
      </c>
      <c r="E15" s="4" t="s">
        <v>42</v>
      </c>
      <c r="F15" s="4" t="s">
        <v>48</v>
      </c>
      <c r="G15" s="5">
        <v>0.0</v>
      </c>
      <c r="H15" s="7">
        <v>21.0</v>
      </c>
      <c r="I15" s="7">
        <v>0.0</v>
      </c>
      <c r="J15" s="5">
        <v>0.0</v>
      </c>
      <c r="K15" s="5">
        <v>0.0</v>
      </c>
      <c r="L15" s="5">
        <v>0.0</v>
      </c>
      <c r="M15" s="8">
        <f t="shared" si="1"/>
        <v>21</v>
      </c>
      <c r="N15" s="4" t="s">
        <v>27</v>
      </c>
      <c r="O15" s="4" t="s">
        <v>49</v>
      </c>
      <c r="P15" s="1" t="s">
        <v>21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" t="s">
        <v>15</v>
      </c>
      <c r="C16" s="1" t="s">
        <v>16</v>
      </c>
      <c r="D16" s="5">
        <v>104640.0</v>
      </c>
      <c r="E16" s="6" t="s">
        <v>50</v>
      </c>
      <c r="F16" s="4" t="s">
        <v>51</v>
      </c>
      <c r="G16" s="5">
        <v>0.0</v>
      </c>
      <c r="H16" s="7">
        <v>24.0</v>
      </c>
      <c r="I16" s="7">
        <v>0.0</v>
      </c>
      <c r="J16" s="5">
        <v>0.0</v>
      </c>
      <c r="K16" s="5">
        <v>0.0</v>
      </c>
      <c r="L16" s="5">
        <v>0.0</v>
      </c>
      <c r="M16" s="8">
        <f t="shared" si="1"/>
        <v>24</v>
      </c>
      <c r="N16" s="4" t="s">
        <v>27</v>
      </c>
      <c r="O16" s="6" t="s">
        <v>52</v>
      </c>
      <c r="P16" s="1" t="s">
        <v>34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4" t="s">
        <v>15</v>
      </c>
      <c r="C17" s="1" t="s">
        <v>16</v>
      </c>
      <c r="D17" s="5">
        <v>54797.0</v>
      </c>
      <c r="E17" s="6" t="s">
        <v>53</v>
      </c>
      <c r="F17" s="6" t="s">
        <v>54</v>
      </c>
      <c r="G17" s="7">
        <v>0.0</v>
      </c>
      <c r="H17" s="7">
        <v>24.0</v>
      </c>
      <c r="I17" s="7">
        <v>0.0</v>
      </c>
      <c r="J17" s="5">
        <v>0.0</v>
      </c>
      <c r="K17" s="5">
        <v>0.0</v>
      </c>
      <c r="L17" s="5">
        <v>0.0</v>
      </c>
      <c r="M17" s="8">
        <f t="shared" si="1"/>
        <v>24</v>
      </c>
      <c r="N17" s="4" t="s">
        <v>19</v>
      </c>
      <c r="O17" s="6" t="s">
        <v>55</v>
      </c>
      <c r="P17" s="1" t="s">
        <v>21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4" t="s">
        <v>15</v>
      </c>
      <c r="C18" s="1" t="s">
        <v>16</v>
      </c>
      <c r="D18" s="5">
        <v>104640.0</v>
      </c>
      <c r="E18" s="6" t="s">
        <v>50</v>
      </c>
      <c r="F18" s="6" t="s">
        <v>56</v>
      </c>
      <c r="G18" s="7">
        <v>0.0</v>
      </c>
      <c r="H18" s="7">
        <v>23.0</v>
      </c>
      <c r="I18" s="7">
        <v>0.0</v>
      </c>
      <c r="J18" s="5">
        <v>0.0</v>
      </c>
      <c r="K18" s="5">
        <v>0.0</v>
      </c>
      <c r="L18" s="5">
        <v>0.0</v>
      </c>
      <c r="M18" s="8">
        <f t="shared" si="1"/>
        <v>23</v>
      </c>
      <c r="N18" s="6" t="s">
        <v>19</v>
      </c>
      <c r="O18" s="6" t="s">
        <v>20</v>
      </c>
      <c r="P18" s="1" t="s">
        <v>21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4" t="s">
        <v>15</v>
      </c>
      <c r="C19" s="1" t="s">
        <v>16</v>
      </c>
      <c r="D19" s="5">
        <v>104640.0</v>
      </c>
      <c r="E19" s="6" t="s">
        <v>50</v>
      </c>
      <c r="F19" s="6" t="s">
        <v>29</v>
      </c>
      <c r="G19" s="7">
        <v>0.0</v>
      </c>
      <c r="H19" s="7">
        <v>18.0</v>
      </c>
      <c r="I19" s="7">
        <v>0.0</v>
      </c>
      <c r="J19" s="5">
        <v>0.0</v>
      </c>
      <c r="K19" s="5">
        <v>0.0</v>
      </c>
      <c r="L19" s="5">
        <v>0.0</v>
      </c>
      <c r="M19" s="8">
        <f t="shared" si="1"/>
        <v>18</v>
      </c>
      <c r="N19" s="4" t="s">
        <v>19</v>
      </c>
      <c r="O19" s="6" t="s">
        <v>57</v>
      </c>
      <c r="P19" s="1" t="s">
        <v>34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4" t="s">
        <v>15</v>
      </c>
      <c r="C20" s="1" t="s">
        <v>16</v>
      </c>
      <c r="D20" s="5">
        <v>104640.0</v>
      </c>
      <c r="E20" s="6" t="s">
        <v>50</v>
      </c>
      <c r="F20" s="6" t="s">
        <v>25</v>
      </c>
      <c r="G20" s="7">
        <v>0.0</v>
      </c>
      <c r="H20" s="7">
        <v>19.0</v>
      </c>
      <c r="I20" s="7">
        <v>0.0</v>
      </c>
      <c r="J20" s="5">
        <v>0.0</v>
      </c>
      <c r="K20" s="5">
        <v>0.0</v>
      </c>
      <c r="L20" s="5">
        <v>0.0</v>
      </c>
      <c r="M20" s="8">
        <f t="shared" si="1"/>
        <v>19</v>
      </c>
      <c r="N20" s="6" t="s">
        <v>19</v>
      </c>
      <c r="O20" s="6" t="s">
        <v>20</v>
      </c>
      <c r="P20" s="1" t="s">
        <v>21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4" t="s">
        <v>15</v>
      </c>
      <c r="C21" s="1" t="s">
        <v>16</v>
      </c>
      <c r="D21" s="5">
        <v>104643.0</v>
      </c>
      <c r="E21" s="1" t="s">
        <v>17</v>
      </c>
      <c r="F21" s="4" t="s">
        <v>32</v>
      </c>
      <c r="G21" s="5">
        <v>0.0</v>
      </c>
      <c r="H21" s="5">
        <v>27.0</v>
      </c>
      <c r="I21" s="5">
        <v>0.0</v>
      </c>
      <c r="J21" s="5">
        <v>21.0</v>
      </c>
      <c r="K21" s="5">
        <v>0.0</v>
      </c>
      <c r="L21" s="5">
        <v>0.0</v>
      </c>
      <c r="M21" s="8">
        <f t="shared" si="1"/>
        <v>48</v>
      </c>
      <c r="N21" s="4" t="s">
        <v>27</v>
      </c>
      <c r="O21" s="4" t="s">
        <v>33</v>
      </c>
      <c r="P21" s="1" t="s">
        <v>34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" t="s">
        <v>15</v>
      </c>
      <c r="C22" s="1" t="s">
        <v>16</v>
      </c>
      <c r="D22" s="5">
        <v>104643.0</v>
      </c>
      <c r="E22" s="1" t="s">
        <v>17</v>
      </c>
      <c r="F22" s="4" t="s">
        <v>39</v>
      </c>
      <c r="G22" s="5">
        <v>0.0</v>
      </c>
      <c r="H22" s="5">
        <v>27.0</v>
      </c>
      <c r="I22" s="5">
        <v>0.0</v>
      </c>
      <c r="J22" s="5">
        <v>26.0</v>
      </c>
      <c r="K22" s="5">
        <v>0.0</v>
      </c>
      <c r="L22" s="5">
        <v>0.0</v>
      </c>
      <c r="M22" s="8">
        <f t="shared" si="1"/>
        <v>53</v>
      </c>
      <c r="N22" s="4" t="s">
        <v>27</v>
      </c>
      <c r="O22" s="4" t="s">
        <v>40</v>
      </c>
      <c r="P22" s="1" t="s">
        <v>34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4" t="s">
        <v>15</v>
      </c>
      <c r="C23" s="1" t="s">
        <v>16</v>
      </c>
      <c r="D23" s="5">
        <v>104643.0</v>
      </c>
      <c r="E23" s="1" t="s">
        <v>17</v>
      </c>
      <c r="F23" s="4" t="s">
        <v>58</v>
      </c>
      <c r="G23" s="5">
        <v>0.0</v>
      </c>
      <c r="H23" s="5">
        <v>0.0</v>
      </c>
      <c r="I23" s="5">
        <v>16.0</v>
      </c>
      <c r="J23" s="5">
        <v>0.0</v>
      </c>
      <c r="K23" s="5">
        <v>0.0</v>
      </c>
      <c r="L23" s="5">
        <v>0.0</v>
      </c>
      <c r="M23" s="8">
        <f t="shared" si="1"/>
        <v>16</v>
      </c>
      <c r="N23" s="4" t="s">
        <v>19</v>
      </c>
      <c r="O23" s="4" t="s">
        <v>59</v>
      </c>
      <c r="P23" s="4" t="s">
        <v>60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4" t="s">
        <v>15</v>
      </c>
      <c r="C24" s="1" t="s">
        <v>16</v>
      </c>
      <c r="D24" s="5">
        <v>104643.0</v>
      </c>
      <c r="E24" s="1" t="s">
        <v>17</v>
      </c>
      <c r="F24" s="4" t="s">
        <v>61</v>
      </c>
      <c r="G24" s="5">
        <v>0.0</v>
      </c>
      <c r="H24" s="5">
        <v>0.0</v>
      </c>
      <c r="I24" s="5">
        <v>23.0</v>
      </c>
      <c r="J24" s="5">
        <v>0.0</v>
      </c>
      <c r="K24" s="5">
        <v>0.0</v>
      </c>
      <c r="L24" s="5">
        <v>24.0</v>
      </c>
      <c r="M24" s="8">
        <f t="shared" si="1"/>
        <v>47</v>
      </c>
      <c r="N24" s="4" t="s">
        <v>19</v>
      </c>
      <c r="O24" s="4" t="s">
        <v>62</v>
      </c>
      <c r="P24" s="4" t="s">
        <v>60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4" t="s">
        <v>15</v>
      </c>
      <c r="C25" s="1" t="s">
        <v>16</v>
      </c>
      <c r="D25" s="5">
        <v>104643.0</v>
      </c>
      <c r="E25" s="1" t="s">
        <v>17</v>
      </c>
      <c r="F25" s="4" t="s">
        <v>63</v>
      </c>
      <c r="G25" s="5">
        <v>0.0</v>
      </c>
      <c r="H25" s="5">
        <v>0.0</v>
      </c>
      <c r="I25" s="5">
        <v>17.0</v>
      </c>
      <c r="J25" s="5">
        <v>0.0</v>
      </c>
      <c r="K25" s="5">
        <v>0.0</v>
      </c>
      <c r="L25" s="5">
        <v>0.0</v>
      </c>
      <c r="M25" s="8">
        <f t="shared" si="1"/>
        <v>17</v>
      </c>
      <c r="N25" s="4" t="s">
        <v>19</v>
      </c>
      <c r="O25" s="4" t="s">
        <v>64</v>
      </c>
      <c r="P25" s="4" t="s">
        <v>60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4" t="s">
        <v>15</v>
      </c>
      <c r="C26" s="1" t="s">
        <v>16</v>
      </c>
      <c r="D26" s="5">
        <v>104643.0</v>
      </c>
      <c r="E26" s="1" t="s">
        <v>17</v>
      </c>
      <c r="F26" s="4" t="s">
        <v>22</v>
      </c>
      <c r="G26" s="5">
        <v>0.0</v>
      </c>
      <c r="H26" s="5">
        <v>0.0</v>
      </c>
      <c r="I26" s="5">
        <v>17.0</v>
      </c>
      <c r="J26" s="5">
        <v>0.0</v>
      </c>
      <c r="K26" s="5">
        <v>28.0</v>
      </c>
      <c r="L26" s="5">
        <v>0.0</v>
      </c>
      <c r="M26" s="8">
        <f t="shared" si="1"/>
        <v>45</v>
      </c>
      <c r="N26" s="4" t="s">
        <v>19</v>
      </c>
      <c r="O26" s="6" t="s">
        <v>23</v>
      </c>
      <c r="P26" s="1" t="s">
        <v>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4" t="s">
        <v>15</v>
      </c>
      <c r="C27" s="1" t="s">
        <v>16</v>
      </c>
      <c r="D27" s="5">
        <v>104643.0</v>
      </c>
      <c r="E27" s="1" t="s">
        <v>17</v>
      </c>
      <c r="F27" s="4" t="s">
        <v>65</v>
      </c>
      <c r="G27" s="5">
        <v>0.0</v>
      </c>
      <c r="H27" s="5">
        <v>0.0</v>
      </c>
      <c r="I27" s="5">
        <v>25.0</v>
      </c>
      <c r="J27" s="5">
        <v>0.0</v>
      </c>
      <c r="K27" s="5">
        <v>0.0</v>
      </c>
      <c r="L27" s="5">
        <v>0.0</v>
      </c>
      <c r="M27" s="8">
        <f t="shared" si="1"/>
        <v>25</v>
      </c>
      <c r="N27" s="4" t="s">
        <v>19</v>
      </c>
      <c r="O27" s="6" t="s">
        <v>23</v>
      </c>
      <c r="P27" s="1" t="s">
        <v>24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4" t="s">
        <v>15</v>
      </c>
      <c r="C28" s="1" t="s">
        <v>16</v>
      </c>
      <c r="D28" s="5">
        <v>104643.0</v>
      </c>
      <c r="E28" s="1" t="s">
        <v>17</v>
      </c>
      <c r="F28" s="4" t="s">
        <v>66</v>
      </c>
      <c r="G28" s="5">
        <v>0.0</v>
      </c>
      <c r="H28" s="5">
        <v>0.0</v>
      </c>
      <c r="I28" s="5">
        <v>26.0</v>
      </c>
      <c r="J28" s="5">
        <v>0.0</v>
      </c>
      <c r="K28" s="5">
        <v>25.0</v>
      </c>
      <c r="L28" s="5">
        <v>0.0</v>
      </c>
      <c r="M28" s="8">
        <f t="shared" si="1"/>
        <v>51</v>
      </c>
      <c r="N28" s="4" t="s">
        <v>19</v>
      </c>
      <c r="O28" s="4" t="s">
        <v>67</v>
      </c>
      <c r="P28" s="1" t="s">
        <v>21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4" t="s">
        <v>15</v>
      </c>
      <c r="C29" s="1" t="s">
        <v>16</v>
      </c>
      <c r="D29" s="5">
        <v>104643.0</v>
      </c>
      <c r="E29" s="1" t="s">
        <v>17</v>
      </c>
      <c r="F29" s="4" t="s">
        <v>68</v>
      </c>
      <c r="G29" s="5">
        <v>0.0</v>
      </c>
      <c r="H29" s="5">
        <v>0.0</v>
      </c>
      <c r="I29" s="5">
        <v>16.0</v>
      </c>
      <c r="J29" s="5">
        <v>0.0</v>
      </c>
      <c r="K29" s="5">
        <v>0.0</v>
      </c>
      <c r="L29" s="5">
        <v>0.0</v>
      </c>
      <c r="M29" s="8">
        <f t="shared" si="1"/>
        <v>16</v>
      </c>
      <c r="N29" s="4" t="s">
        <v>19</v>
      </c>
      <c r="O29" s="4" t="s">
        <v>67</v>
      </c>
      <c r="P29" s="1" t="s">
        <v>21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4" t="s">
        <v>15</v>
      </c>
      <c r="C30" s="1" t="s">
        <v>16</v>
      </c>
      <c r="D30" s="5">
        <v>104643.0</v>
      </c>
      <c r="E30" s="1" t="s">
        <v>17</v>
      </c>
      <c r="F30" s="4" t="s">
        <v>69</v>
      </c>
      <c r="G30" s="5">
        <v>0.0</v>
      </c>
      <c r="H30" s="5">
        <v>0.0</v>
      </c>
      <c r="I30" s="5">
        <v>24.0</v>
      </c>
      <c r="J30" s="5">
        <v>0.0</v>
      </c>
      <c r="K30" s="5">
        <v>28.0</v>
      </c>
      <c r="L30" s="5">
        <v>0.0</v>
      </c>
      <c r="M30" s="8">
        <f t="shared" si="1"/>
        <v>52</v>
      </c>
      <c r="N30" s="4" t="s">
        <v>19</v>
      </c>
      <c r="O30" s="4" t="s">
        <v>70</v>
      </c>
      <c r="P30" s="1" t="s">
        <v>34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4" t="s">
        <v>15</v>
      </c>
      <c r="C31" s="1" t="s">
        <v>16</v>
      </c>
      <c r="D31" s="5">
        <v>104640.0</v>
      </c>
      <c r="E31" s="6" t="s">
        <v>50</v>
      </c>
      <c r="F31" s="4" t="s">
        <v>66</v>
      </c>
      <c r="G31" s="5">
        <v>0.0</v>
      </c>
      <c r="H31" s="5">
        <v>0.0</v>
      </c>
      <c r="I31" s="5">
        <v>18.0</v>
      </c>
      <c r="J31" s="5">
        <v>0.0</v>
      </c>
      <c r="K31" s="5">
        <v>19.0</v>
      </c>
      <c r="L31" s="5">
        <v>0.0</v>
      </c>
      <c r="M31" s="8">
        <f t="shared" si="1"/>
        <v>37</v>
      </c>
      <c r="N31" s="4" t="s">
        <v>19</v>
      </c>
      <c r="O31" s="4" t="s">
        <v>67</v>
      </c>
      <c r="P31" s="1" t="s">
        <v>21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4" t="s">
        <v>15</v>
      </c>
      <c r="C32" s="1" t="s">
        <v>16</v>
      </c>
      <c r="D32" s="5">
        <v>104643.0</v>
      </c>
      <c r="E32" s="1" t="s">
        <v>17</v>
      </c>
      <c r="F32" s="4" t="s">
        <v>71</v>
      </c>
      <c r="G32" s="5">
        <v>0.0</v>
      </c>
      <c r="H32" s="5">
        <v>0.0</v>
      </c>
      <c r="I32" s="5">
        <v>0.0</v>
      </c>
      <c r="J32" s="5">
        <v>19.0</v>
      </c>
      <c r="K32" s="5">
        <v>0.0</v>
      </c>
      <c r="L32" s="5">
        <v>0.0</v>
      </c>
      <c r="M32" s="8">
        <f t="shared" si="1"/>
        <v>19</v>
      </c>
      <c r="N32" s="4" t="s">
        <v>27</v>
      </c>
      <c r="O32" s="4" t="s">
        <v>28</v>
      </c>
      <c r="P32" s="1" t="s">
        <v>21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4" t="s">
        <v>15</v>
      </c>
      <c r="C33" s="1" t="s">
        <v>16</v>
      </c>
      <c r="D33" s="5">
        <v>104643.0</v>
      </c>
      <c r="E33" s="1" t="s">
        <v>17</v>
      </c>
      <c r="F33" s="4" t="s">
        <v>72</v>
      </c>
      <c r="G33" s="5">
        <v>0.0</v>
      </c>
      <c r="H33" s="5">
        <v>0.0</v>
      </c>
      <c r="I33" s="5">
        <v>0.0</v>
      </c>
      <c r="J33" s="5">
        <v>17.0</v>
      </c>
      <c r="K33" s="5">
        <v>0.0</v>
      </c>
      <c r="L33" s="5">
        <v>0.0</v>
      </c>
      <c r="M33" s="8">
        <f t="shared" si="1"/>
        <v>17</v>
      </c>
      <c r="N33" s="4" t="s">
        <v>27</v>
      </c>
      <c r="O33" s="4" t="s">
        <v>73</v>
      </c>
      <c r="P33" s="1" t="s">
        <v>24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4" t="s">
        <v>15</v>
      </c>
      <c r="C34" s="1" t="s">
        <v>16</v>
      </c>
      <c r="D34" s="5">
        <v>104643.0</v>
      </c>
      <c r="E34" s="1" t="s">
        <v>17</v>
      </c>
      <c r="F34" s="4" t="s">
        <v>74</v>
      </c>
      <c r="G34" s="5">
        <v>0.0</v>
      </c>
      <c r="H34" s="5">
        <v>0.0</v>
      </c>
      <c r="I34" s="5">
        <v>0.0</v>
      </c>
      <c r="J34" s="5">
        <v>23.0</v>
      </c>
      <c r="K34" s="5">
        <v>0.0</v>
      </c>
      <c r="L34" s="5">
        <v>0.0</v>
      </c>
      <c r="M34" s="8">
        <f t="shared" si="1"/>
        <v>23</v>
      </c>
      <c r="N34" s="4" t="s">
        <v>27</v>
      </c>
      <c r="O34" s="4" t="s">
        <v>75</v>
      </c>
      <c r="P34" s="1" t="s">
        <v>21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4" t="s">
        <v>15</v>
      </c>
      <c r="C35" s="1" t="s">
        <v>16</v>
      </c>
      <c r="D35" s="5">
        <v>104643.0</v>
      </c>
      <c r="E35" s="1" t="s">
        <v>17</v>
      </c>
      <c r="F35" s="4" t="s">
        <v>43</v>
      </c>
      <c r="G35" s="5">
        <v>0.0</v>
      </c>
      <c r="H35" s="5">
        <v>0.0</v>
      </c>
      <c r="I35" s="5">
        <v>0.0</v>
      </c>
      <c r="J35" s="5">
        <v>29.0</v>
      </c>
      <c r="K35" s="5">
        <v>0.0</v>
      </c>
      <c r="L35" s="5">
        <v>0.0</v>
      </c>
      <c r="M35" s="8">
        <f t="shared" si="1"/>
        <v>29</v>
      </c>
      <c r="N35" s="4" t="s">
        <v>27</v>
      </c>
      <c r="O35" s="4" t="s">
        <v>40</v>
      </c>
      <c r="P35" s="1" t="s">
        <v>34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4" t="s">
        <v>15</v>
      </c>
      <c r="C36" s="1" t="s">
        <v>16</v>
      </c>
      <c r="D36" s="5">
        <v>104643.0</v>
      </c>
      <c r="E36" s="1" t="s">
        <v>17</v>
      </c>
      <c r="F36" s="4" t="s">
        <v>48</v>
      </c>
      <c r="G36" s="5">
        <v>0.0</v>
      </c>
      <c r="H36" s="5">
        <v>0.0</v>
      </c>
      <c r="I36" s="5">
        <v>0.0</v>
      </c>
      <c r="J36" s="5">
        <v>23.0</v>
      </c>
      <c r="K36" s="5">
        <v>0.0</v>
      </c>
      <c r="L36" s="5">
        <v>0.0</v>
      </c>
      <c r="M36" s="8">
        <f t="shared" si="1"/>
        <v>23</v>
      </c>
      <c r="N36" s="4" t="s">
        <v>27</v>
      </c>
      <c r="O36" s="4" t="s">
        <v>49</v>
      </c>
      <c r="P36" s="1" t="s">
        <v>21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4" t="s">
        <v>15</v>
      </c>
      <c r="C37" s="1" t="s">
        <v>16</v>
      </c>
      <c r="D37" s="5">
        <v>104643.0</v>
      </c>
      <c r="E37" s="1" t="s">
        <v>17</v>
      </c>
      <c r="F37" s="4" t="s">
        <v>51</v>
      </c>
      <c r="G37" s="5">
        <v>0.0</v>
      </c>
      <c r="H37" s="5">
        <v>0.0</v>
      </c>
      <c r="I37" s="5">
        <v>0.0</v>
      </c>
      <c r="J37" s="5">
        <v>30.0</v>
      </c>
      <c r="K37" s="5">
        <v>0.0</v>
      </c>
      <c r="L37" s="5">
        <v>0.0</v>
      </c>
      <c r="M37" s="8">
        <f t="shared" si="1"/>
        <v>30</v>
      </c>
      <c r="N37" s="4" t="s">
        <v>27</v>
      </c>
      <c r="O37" s="4" t="s">
        <v>52</v>
      </c>
      <c r="P37" s="1" t="s">
        <v>34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4" t="s">
        <v>15</v>
      </c>
      <c r="C38" s="1" t="s">
        <v>16</v>
      </c>
      <c r="D38" s="5">
        <v>102501.0</v>
      </c>
      <c r="E38" s="1" t="s">
        <v>76</v>
      </c>
      <c r="F38" s="4" t="s">
        <v>77</v>
      </c>
      <c r="G38" s="7">
        <v>0.0</v>
      </c>
      <c r="H38" s="5">
        <v>0.0</v>
      </c>
      <c r="I38" s="7">
        <v>0.0</v>
      </c>
      <c r="J38" s="5">
        <v>0.0</v>
      </c>
      <c r="K38" s="5">
        <v>25.0</v>
      </c>
      <c r="L38" s="5">
        <v>0.0</v>
      </c>
      <c r="M38" s="8">
        <f t="shared" si="1"/>
        <v>25</v>
      </c>
      <c r="N38" s="4" t="s">
        <v>19</v>
      </c>
      <c r="O38" s="4" t="s">
        <v>59</v>
      </c>
      <c r="P38" s="4" t="s">
        <v>60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4" t="s">
        <v>15</v>
      </c>
      <c r="C39" s="1" t="s">
        <v>16</v>
      </c>
      <c r="D39" s="5">
        <v>102501.0</v>
      </c>
      <c r="E39" s="1" t="s">
        <v>76</v>
      </c>
      <c r="F39" s="4" t="s">
        <v>78</v>
      </c>
      <c r="G39" s="7">
        <v>0.0</v>
      </c>
      <c r="H39" s="5">
        <v>0.0</v>
      </c>
      <c r="I39" s="7">
        <v>0.0</v>
      </c>
      <c r="J39" s="5">
        <v>0.0</v>
      </c>
      <c r="K39" s="5">
        <v>19.0</v>
      </c>
      <c r="L39" s="5">
        <v>0.0</v>
      </c>
      <c r="M39" s="8">
        <f t="shared" si="1"/>
        <v>19</v>
      </c>
      <c r="N39" s="4" t="s">
        <v>19</v>
      </c>
      <c r="O39" s="4" t="s">
        <v>79</v>
      </c>
      <c r="P39" s="1" t="s">
        <v>24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4" t="s">
        <v>15</v>
      </c>
      <c r="C40" s="1" t="s">
        <v>16</v>
      </c>
      <c r="D40" s="5">
        <v>104643.0</v>
      </c>
      <c r="E40" s="1" t="s">
        <v>17</v>
      </c>
      <c r="F40" s="4" t="s">
        <v>80</v>
      </c>
      <c r="G40" s="7">
        <v>0.0</v>
      </c>
      <c r="H40" s="5">
        <v>0.0</v>
      </c>
      <c r="I40" s="7">
        <v>0.0</v>
      </c>
      <c r="J40" s="5">
        <v>0.0</v>
      </c>
      <c r="K40" s="5">
        <v>29.0</v>
      </c>
      <c r="L40" s="5">
        <v>0.0</v>
      </c>
      <c r="M40" s="8">
        <f t="shared" si="1"/>
        <v>29</v>
      </c>
      <c r="N40" s="4" t="s">
        <v>19</v>
      </c>
      <c r="O40" s="4" t="s">
        <v>81</v>
      </c>
      <c r="P40" s="1" t="s">
        <v>34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4" t="s">
        <v>15</v>
      </c>
      <c r="C41" s="1" t="s">
        <v>16</v>
      </c>
      <c r="D41" s="5">
        <v>104643.0</v>
      </c>
      <c r="E41" s="1" t="s">
        <v>17</v>
      </c>
      <c r="F41" s="6" t="s">
        <v>54</v>
      </c>
      <c r="G41" s="7">
        <v>0.0</v>
      </c>
      <c r="H41" s="5">
        <v>0.0</v>
      </c>
      <c r="I41" s="7">
        <v>0.0</v>
      </c>
      <c r="J41" s="5">
        <v>0.0</v>
      </c>
      <c r="K41" s="5">
        <v>23.0</v>
      </c>
      <c r="L41" s="5">
        <v>0.0</v>
      </c>
      <c r="M41" s="8">
        <f t="shared" si="1"/>
        <v>23</v>
      </c>
      <c r="N41" s="4" t="s">
        <v>19</v>
      </c>
      <c r="O41" s="4" t="s">
        <v>55</v>
      </c>
      <c r="P41" s="1" t="s">
        <v>21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4" t="s">
        <v>15</v>
      </c>
      <c r="C42" s="1" t="s">
        <v>16</v>
      </c>
      <c r="D42" s="5">
        <v>104643.0</v>
      </c>
      <c r="E42" s="1" t="s">
        <v>17</v>
      </c>
      <c r="F42" s="4" t="s">
        <v>82</v>
      </c>
      <c r="G42" s="7">
        <v>0.0</v>
      </c>
      <c r="H42" s="5">
        <v>0.0</v>
      </c>
      <c r="I42" s="7">
        <v>0.0</v>
      </c>
      <c r="J42" s="5">
        <v>0.0</v>
      </c>
      <c r="K42" s="5">
        <v>18.0</v>
      </c>
      <c r="L42" s="5">
        <v>0.0</v>
      </c>
      <c r="M42" s="8">
        <f t="shared" si="1"/>
        <v>18</v>
      </c>
      <c r="N42" s="4" t="s">
        <v>19</v>
      </c>
      <c r="O42" s="4" t="s">
        <v>70</v>
      </c>
      <c r="P42" s="1" t="s">
        <v>34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4" t="s">
        <v>15</v>
      </c>
      <c r="C43" s="1" t="s">
        <v>16</v>
      </c>
      <c r="D43" s="5">
        <v>102501.0</v>
      </c>
      <c r="E43" s="1" t="s">
        <v>76</v>
      </c>
      <c r="F43" s="4" t="s">
        <v>83</v>
      </c>
      <c r="G43" s="7">
        <v>0.0</v>
      </c>
      <c r="H43" s="5">
        <v>0.0</v>
      </c>
      <c r="I43" s="7">
        <v>0.0</v>
      </c>
      <c r="J43" s="5">
        <v>0.0</v>
      </c>
      <c r="K43" s="5">
        <v>20.0</v>
      </c>
      <c r="L43" s="5">
        <v>0.0</v>
      </c>
      <c r="M43" s="8">
        <f t="shared" si="1"/>
        <v>20</v>
      </c>
      <c r="N43" s="4" t="s">
        <v>27</v>
      </c>
      <c r="O43" s="4" t="s">
        <v>36</v>
      </c>
      <c r="P43" s="1" t="s">
        <v>31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4" t="s">
        <v>15</v>
      </c>
      <c r="C44" s="1" t="s">
        <v>16</v>
      </c>
      <c r="D44" s="5">
        <v>102501.0</v>
      </c>
      <c r="E44" s="1" t="s">
        <v>76</v>
      </c>
      <c r="F44" s="4" t="s">
        <v>84</v>
      </c>
      <c r="G44" s="7">
        <v>0.0</v>
      </c>
      <c r="H44" s="5">
        <v>0.0</v>
      </c>
      <c r="I44" s="7">
        <v>0.0</v>
      </c>
      <c r="J44" s="5">
        <v>0.0</v>
      </c>
      <c r="K44" s="5">
        <v>23.0</v>
      </c>
      <c r="L44" s="5">
        <v>0.0</v>
      </c>
      <c r="M44" s="8">
        <f t="shared" si="1"/>
        <v>23</v>
      </c>
      <c r="N44" s="4" t="s">
        <v>27</v>
      </c>
      <c r="O44" s="4" t="s">
        <v>36</v>
      </c>
      <c r="P44" s="1" t="s">
        <v>31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4" t="s">
        <v>15</v>
      </c>
      <c r="C45" s="1" t="s">
        <v>16</v>
      </c>
      <c r="D45" s="5">
        <v>104641.0</v>
      </c>
      <c r="E45" s="4" t="s">
        <v>42</v>
      </c>
      <c r="F45" s="4" t="s">
        <v>85</v>
      </c>
      <c r="G45" s="7">
        <v>0.0</v>
      </c>
      <c r="H45" s="5">
        <v>0.0</v>
      </c>
      <c r="I45" s="7">
        <v>0.0</v>
      </c>
      <c r="J45" s="5">
        <v>0.0</v>
      </c>
      <c r="K45" s="5">
        <v>21.0</v>
      </c>
      <c r="L45" s="5">
        <v>0.0</v>
      </c>
      <c r="M45" s="8">
        <f t="shared" si="1"/>
        <v>21</v>
      </c>
      <c r="N45" s="4" t="s">
        <v>27</v>
      </c>
      <c r="O45" s="4" t="s">
        <v>36</v>
      </c>
      <c r="P45" s="1" t="s">
        <v>31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4" t="s">
        <v>15</v>
      </c>
      <c r="C46" s="1" t="s">
        <v>16</v>
      </c>
      <c r="D46" s="5">
        <v>104643.0</v>
      </c>
      <c r="E46" s="1" t="s">
        <v>17</v>
      </c>
      <c r="F46" s="4" t="s">
        <v>86</v>
      </c>
      <c r="G46" s="7">
        <v>0.0</v>
      </c>
      <c r="H46" s="5">
        <v>0.0</v>
      </c>
      <c r="I46" s="7">
        <v>0.0</v>
      </c>
      <c r="J46" s="5">
        <v>0.0</v>
      </c>
      <c r="K46" s="5">
        <v>21.0</v>
      </c>
      <c r="L46" s="5">
        <v>0.0</v>
      </c>
      <c r="M46" s="8">
        <f t="shared" si="1"/>
        <v>21</v>
      </c>
      <c r="N46" s="4" t="s">
        <v>27</v>
      </c>
      <c r="O46" s="4" t="s">
        <v>36</v>
      </c>
      <c r="P46" s="1" t="s">
        <v>31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4" t="s">
        <v>15</v>
      </c>
      <c r="C47" s="1" t="s">
        <v>16</v>
      </c>
      <c r="D47" s="5">
        <v>104643.0</v>
      </c>
      <c r="E47" s="1" t="s">
        <v>17</v>
      </c>
      <c r="F47" s="4" t="s">
        <v>87</v>
      </c>
      <c r="G47" s="7">
        <v>0.0</v>
      </c>
      <c r="H47" s="5">
        <v>0.0</v>
      </c>
      <c r="I47" s="7">
        <v>0.0</v>
      </c>
      <c r="J47" s="5">
        <v>0.0</v>
      </c>
      <c r="K47" s="5">
        <v>17.0</v>
      </c>
      <c r="L47" s="5">
        <v>0.0</v>
      </c>
      <c r="M47" s="8">
        <f t="shared" si="1"/>
        <v>17</v>
      </c>
      <c r="N47" s="4" t="s">
        <v>27</v>
      </c>
      <c r="O47" s="4" t="s">
        <v>36</v>
      </c>
      <c r="P47" s="1" t="s">
        <v>31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4" t="s">
        <v>15</v>
      </c>
      <c r="C48" s="1" t="s">
        <v>16</v>
      </c>
      <c r="D48" s="5">
        <v>54797.0</v>
      </c>
      <c r="E48" s="6" t="s">
        <v>53</v>
      </c>
      <c r="F48" s="4" t="s">
        <v>88</v>
      </c>
      <c r="G48" s="7">
        <v>0.0</v>
      </c>
      <c r="H48" s="5">
        <v>0.0</v>
      </c>
      <c r="I48" s="7">
        <v>0.0</v>
      </c>
      <c r="J48" s="5">
        <v>0.0</v>
      </c>
      <c r="K48" s="5">
        <v>22.0</v>
      </c>
      <c r="L48" s="5">
        <v>0.0</v>
      </c>
      <c r="M48" s="8">
        <f t="shared" si="1"/>
        <v>22</v>
      </c>
      <c r="N48" s="4" t="s">
        <v>27</v>
      </c>
      <c r="O48" s="4" t="s">
        <v>36</v>
      </c>
      <c r="P48" s="1" t="s">
        <v>31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4" t="s">
        <v>15</v>
      </c>
      <c r="C49" s="1" t="s">
        <v>16</v>
      </c>
      <c r="D49" s="9">
        <v>104640.0</v>
      </c>
      <c r="E49" s="6" t="s">
        <v>50</v>
      </c>
      <c r="F49" s="4" t="s">
        <v>89</v>
      </c>
      <c r="G49" s="7">
        <v>0.0</v>
      </c>
      <c r="H49" s="5">
        <v>0.0</v>
      </c>
      <c r="I49" s="7">
        <v>0.0</v>
      </c>
      <c r="J49" s="5">
        <v>0.0</v>
      </c>
      <c r="K49" s="5">
        <v>20.0</v>
      </c>
      <c r="L49" s="5">
        <v>0.0</v>
      </c>
      <c r="M49" s="8">
        <f t="shared" si="1"/>
        <v>20</v>
      </c>
      <c r="N49" s="4" t="s">
        <v>27</v>
      </c>
      <c r="O49" s="4" t="s">
        <v>36</v>
      </c>
      <c r="P49" s="1" t="s">
        <v>31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4" t="s">
        <v>15</v>
      </c>
      <c r="C50" s="1" t="s">
        <v>16</v>
      </c>
      <c r="D50" s="5">
        <v>104640.0</v>
      </c>
      <c r="E50" s="6" t="s">
        <v>50</v>
      </c>
      <c r="F50" s="4" t="s">
        <v>32</v>
      </c>
      <c r="G50" s="7">
        <v>0.0</v>
      </c>
      <c r="H50" s="5">
        <v>0.0</v>
      </c>
      <c r="I50" s="7">
        <v>0.0</v>
      </c>
      <c r="J50" s="5">
        <v>0.0</v>
      </c>
      <c r="K50" s="5">
        <v>19.0</v>
      </c>
      <c r="L50" s="5">
        <v>0.0</v>
      </c>
      <c r="M50" s="8">
        <f t="shared" si="1"/>
        <v>19</v>
      </c>
      <c r="N50" s="4" t="s">
        <v>27</v>
      </c>
      <c r="O50" s="4" t="s">
        <v>33</v>
      </c>
      <c r="P50" s="1" t="s">
        <v>34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4" t="s">
        <v>15</v>
      </c>
      <c r="C51" s="1" t="s">
        <v>16</v>
      </c>
      <c r="D51" s="5">
        <v>104640.0</v>
      </c>
      <c r="E51" s="6" t="s">
        <v>50</v>
      </c>
      <c r="F51" s="1" t="s">
        <v>71</v>
      </c>
      <c r="G51" s="7">
        <v>0.0</v>
      </c>
      <c r="H51" s="5">
        <v>0.0</v>
      </c>
      <c r="I51" s="7">
        <v>0.0</v>
      </c>
      <c r="J51" s="5">
        <v>0.0</v>
      </c>
      <c r="K51" s="5">
        <v>20.0</v>
      </c>
      <c r="L51" s="5">
        <v>0.0</v>
      </c>
      <c r="M51" s="8">
        <f t="shared" si="1"/>
        <v>20</v>
      </c>
      <c r="N51" s="4" t="s">
        <v>27</v>
      </c>
      <c r="O51" s="4" t="s">
        <v>28</v>
      </c>
      <c r="P51" s="1" t="s">
        <v>21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4" t="s">
        <v>15</v>
      </c>
      <c r="C52" s="1" t="s">
        <v>16</v>
      </c>
      <c r="D52" s="5">
        <v>54797.0</v>
      </c>
      <c r="E52" s="6" t="s">
        <v>53</v>
      </c>
      <c r="F52" s="4" t="s">
        <v>90</v>
      </c>
      <c r="G52" s="7">
        <v>0.0</v>
      </c>
      <c r="H52" s="5">
        <v>0.0</v>
      </c>
      <c r="I52" s="7">
        <v>0.0</v>
      </c>
      <c r="J52" s="5">
        <v>0.0</v>
      </c>
      <c r="K52" s="5">
        <v>0.0</v>
      </c>
      <c r="L52" s="5">
        <v>21.0</v>
      </c>
      <c r="M52" s="8">
        <f t="shared" si="1"/>
        <v>21</v>
      </c>
      <c r="N52" s="4" t="s">
        <v>27</v>
      </c>
      <c r="O52" s="4" t="s">
        <v>38</v>
      </c>
      <c r="P52" s="1" t="s">
        <v>24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4" t="s">
        <v>15</v>
      </c>
      <c r="C53" s="1" t="s">
        <v>16</v>
      </c>
      <c r="D53" s="5">
        <v>54797.0</v>
      </c>
      <c r="E53" s="6" t="s">
        <v>53</v>
      </c>
      <c r="F53" s="4" t="s">
        <v>44</v>
      </c>
      <c r="G53" s="7">
        <v>0.0</v>
      </c>
      <c r="H53" s="5">
        <v>0.0</v>
      </c>
      <c r="I53" s="7">
        <v>0.0</v>
      </c>
      <c r="J53" s="5">
        <v>0.0</v>
      </c>
      <c r="K53" s="5">
        <v>0.0</v>
      </c>
      <c r="L53" s="5">
        <v>17.0</v>
      </c>
      <c r="M53" s="8">
        <f t="shared" si="1"/>
        <v>17</v>
      </c>
      <c r="N53" s="4" t="s">
        <v>27</v>
      </c>
      <c r="O53" s="6" t="s">
        <v>45</v>
      </c>
      <c r="P53" s="1" t="s">
        <v>31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4" t="s">
        <v>15</v>
      </c>
      <c r="C54" s="1" t="s">
        <v>16</v>
      </c>
      <c r="D54" s="5">
        <v>54797.0</v>
      </c>
      <c r="E54" s="6" t="s">
        <v>53</v>
      </c>
      <c r="F54" s="4" t="s">
        <v>43</v>
      </c>
      <c r="G54" s="7">
        <v>0.0</v>
      </c>
      <c r="H54" s="5">
        <v>0.0</v>
      </c>
      <c r="I54" s="7">
        <v>0.0</v>
      </c>
      <c r="J54" s="5">
        <v>0.0</v>
      </c>
      <c r="K54" s="5">
        <v>0.0</v>
      </c>
      <c r="L54" s="5">
        <v>31.0</v>
      </c>
      <c r="M54" s="8">
        <f t="shared" si="1"/>
        <v>31</v>
      </c>
      <c r="N54" s="4" t="s">
        <v>27</v>
      </c>
      <c r="O54" s="4" t="s">
        <v>40</v>
      </c>
      <c r="P54" s="1" t="s">
        <v>34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4" t="s">
        <v>15</v>
      </c>
      <c r="C55" s="1" t="s">
        <v>16</v>
      </c>
      <c r="D55" s="5">
        <v>54797.0</v>
      </c>
      <c r="E55" s="6" t="s">
        <v>53</v>
      </c>
      <c r="F55" s="4" t="s">
        <v>39</v>
      </c>
      <c r="G55" s="7">
        <v>0.0</v>
      </c>
      <c r="H55" s="5">
        <v>0.0</v>
      </c>
      <c r="I55" s="7">
        <v>0.0</v>
      </c>
      <c r="J55" s="5">
        <v>0.0</v>
      </c>
      <c r="K55" s="5">
        <v>0.0</v>
      </c>
      <c r="L55" s="5">
        <v>24.0</v>
      </c>
      <c r="M55" s="8">
        <f t="shared" si="1"/>
        <v>24</v>
      </c>
      <c r="N55" s="4" t="s">
        <v>27</v>
      </c>
      <c r="O55" s="4" t="s">
        <v>40</v>
      </c>
      <c r="P55" s="1" t="s">
        <v>34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4" t="s">
        <v>15</v>
      </c>
      <c r="C56" s="1" t="s">
        <v>16</v>
      </c>
      <c r="D56" s="5">
        <v>54797.0</v>
      </c>
      <c r="E56" s="6" t="s">
        <v>53</v>
      </c>
      <c r="F56" s="4" t="s">
        <v>51</v>
      </c>
      <c r="G56" s="7">
        <v>0.0</v>
      </c>
      <c r="H56" s="5">
        <v>0.0</v>
      </c>
      <c r="I56" s="7">
        <v>0.0</v>
      </c>
      <c r="J56" s="5">
        <v>0.0</v>
      </c>
      <c r="K56" s="5">
        <v>0.0</v>
      </c>
      <c r="L56" s="5">
        <v>23.0</v>
      </c>
      <c r="M56" s="8">
        <f t="shared" si="1"/>
        <v>23</v>
      </c>
      <c r="N56" s="4" t="s">
        <v>27</v>
      </c>
      <c r="O56" s="4" t="s">
        <v>52</v>
      </c>
      <c r="P56" s="1" t="s">
        <v>34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4" t="s">
        <v>15</v>
      </c>
      <c r="C57" s="1" t="s">
        <v>16</v>
      </c>
      <c r="D57" s="5">
        <v>104643.0</v>
      </c>
      <c r="E57" s="1" t="s">
        <v>17</v>
      </c>
      <c r="F57" s="4" t="s">
        <v>91</v>
      </c>
      <c r="G57" s="7">
        <v>0.0</v>
      </c>
      <c r="H57" s="5">
        <v>0.0</v>
      </c>
      <c r="I57" s="7">
        <v>0.0</v>
      </c>
      <c r="J57" s="5">
        <v>0.0</v>
      </c>
      <c r="K57" s="5">
        <v>0.0</v>
      </c>
      <c r="L57" s="5">
        <v>21.0</v>
      </c>
      <c r="M57" s="8">
        <f t="shared" si="1"/>
        <v>21</v>
      </c>
      <c r="N57" s="4" t="s">
        <v>27</v>
      </c>
      <c r="O57" s="4" t="s">
        <v>92</v>
      </c>
      <c r="P57" s="1" t="s">
        <v>31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6" t="s">
        <v>93</v>
      </c>
      <c r="C58" s="1" t="s">
        <v>16</v>
      </c>
      <c r="D58" s="5">
        <v>54797.0</v>
      </c>
      <c r="E58" s="6" t="s">
        <v>53</v>
      </c>
      <c r="F58" s="6" t="s">
        <v>94</v>
      </c>
      <c r="G58" s="7">
        <v>36.0</v>
      </c>
      <c r="H58" s="5">
        <v>0.0</v>
      </c>
      <c r="I58" s="5">
        <v>0.0</v>
      </c>
      <c r="J58" s="5">
        <v>0.0</v>
      </c>
      <c r="K58" s="7">
        <v>0.0</v>
      </c>
      <c r="L58" s="5">
        <v>0.0</v>
      </c>
      <c r="M58" s="8">
        <f t="shared" si="1"/>
        <v>36</v>
      </c>
      <c r="N58" s="4" t="s">
        <v>27</v>
      </c>
      <c r="O58" s="6" t="s">
        <v>36</v>
      </c>
      <c r="P58" s="1" t="s">
        <v>31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6" t="s">
        <v>93</v>
      </c>
      <c r="C59" s="1" t="s">
        <v>95</v>
      </c>
      <c r="D59" s="5">
        <v>90810.0</v>
      </c>
      <c r="E59" s="6" t="s">
        <v>96</v>
      </c>
      <c r="F59" s="6" t="s">
        <v>97</v>
      </c>
      <c r="G59" s="7">
        <v>66.0</v>
      </c>
      <c r="H59" s="5">
        <v>0.0</v>
      </c>
      <c r="I59" s="5">
        <v>0.0</v>
      </c>
      <c r="J59" s="5">
        <v>0.0</v>
      </c>
      <c r="K59" s="7">
        <v>0.0</v>
      </c>
      <c r="L59" s="5">
        <v>0.0</v>
      </c>
      <c r="M59" s="8">
        <f t="shared" si="1"/>
        <v>66</v>
      </c>
      <c r="N59" s="4" t="s">
        <v>27</v>
      </c>
      <c r="O59" s="6" t="s">
        <v>36</v>
      </c>
      <c r="P59" s="1" t="s">
        <v>31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6" t="s">
        <v>93</v>
      </c>
      <c r="C60" s="1" t="s">
        <v>95</v>
      </c>
      <c r="D60" s="5">
        <v>90810.0</v>
      </c>
      <c r="E60" s="6" t="s">
        <v>96</v>
      </c>
      <c r="F60" s="6" t="s">
        <v>94</v>
      </c>
      <c r="G60" s="7">
        <v>34.0</v>
      </c>
      <c r="H60" s="5">
        <v>0.0</v>
      </c>
      <c r="I60" s="5">
        <v>0.0</v>
      </c>
      <c r="J60" s="5">
        <v>0.0</v>
      </c>
      <c r="K60" s="7">
        <v>0.0</v>
      </c>
      <c r="L60" s="5">
        <v>0.0</v>
      </c>
      <c r="M60" s="8">
        <f t="shared" si="1"/>
        <v>34</v>
      </c>
      <c r="N60" s="4" t="s">
        <v>27</v>
      </c>
      <c r="O60" s="6" t="s">
        <v>36</v>
      </c>
      <c r="P60" s="1" t="s">
        <v>31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6" t="s">
        <v>93</v>
      </c>
      <c r="C61" s="1" t="s">
        <v>16</v>
      </c>
      <c r="D61" s="5">
        <v>104643.0</v>
      </c>
      <c r="E61" s="6" t="s">
        <v>17</v>
      </c>
      <c r="F61" s="6" t="s">
        <v>94</v>
      </c>
      <c r="G61" s="7">
        <v>70.0</v>
      </c>
      <c r="H61" s="5">
        <v>0.0</v>
      </c>
      <c r="I61" s="5">
        <v>0.0</v>
      </c>
      <c r="J61" s="5">
        <v>0.0</v>
      </c>
      <c r="K61" s="7">
        <v>0.0</v>
      </c>
      <c r="L61" s="5">
        <v>0.0</v>
      </c>
      <c r="M61" s="8">
        <f t="shared" si="1"/>
        <v>70</v>
      </c>
      <c r="N61" s="4" t="s">
        <v>27</v>
      </c>
      <c r="O61" s="6" t="s">
        <v>36</v>
      </c>
      <c r="P61" s="1" t="s">
        <v>31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6" t="s">
        <v>93</v>
      </c>
      <c r="C62" s="1" t="s">
        <v>16</v>
      </c>
      <c r="D62" s="5">
        <v>104643.0</v>
      </c>
      <c r="E62" s="6" t="s">
        <v>17</v>
      </c>
      <c r="F62" s="6" t="s">
        <v>97</v>
      </c>
      <c r="G62" s="7">
        <v>32.0</v>
      </c>
      <c r="H62" s="5">
        <v>0.0</v>
      </c>
      <c r="I62" s="5">
        <v>0.0</v>
      </c>
      <c r="J62" s="5">
        <v>0.0</v>
      </c>
      <c r="K62" s="7">
        <v>0.0</v>
      </c>
      <c r="L62" s="5">
        <v>0.0</v>
      </c>
      <c r="M62" s="8">
        <f t="shared" si="1"/>
        <v>32</v>
      </c>
      <c r="N62" s="4" t="s">
        <v>27</v>
      </c>
      <c r="O62" s="6" t="s">
        <v>36</v>
      </c>
      <c r="P62" s="1" t="s">
        <v>31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6" t="s">
        <v>93</v>
      </c>
      <c r="C63" s="1" t="s">
        <v>16</v>
      </c>
      <c r="D63" s="5">
        <v>104640.0</v>
      </c>
      <c r="E63" s="6" t="s">
        <v>50</v>
      </c>
      <c r="F63" s="6" t="s">
        <v>98</v>
      </c>
      <c r="G63" s="7">
        <v>19.0</v>
      </c>
      <c r="H63" s="5">
        <v>0.0</v>
      </c>
      <c r="I63" s="5">
        <v>0.0</v>
      </c>
      <c r="J63" s="5">
        <v>0.0</v>
      </c>
      <c r="K63" s="7">
        <v>0.0</v>
      </c>
      <c r="L63" s="5">
        <v>0.0</v>
      </c>
      <c r="M63" s="8">
        <f t="shared" si="1"/>
        <v>19</v>
      </c>
      <c r="N63" s="4" t="s">
        <v>27</v>
      </c>
      <c r="O63" s="6" t="s">
        <v>36</v>
      </c>
      <c r="P63" s="1" t="s">
        <v>31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6" t="s">
        <v>93</v>
      </c>
      <c r="C64" s="1" t="s">
        <v>95</v>
      </c>
      <c r="D64" s="5">
        <v>90810.0</v>
      </c>
      <c r="E64" s="6" t="s">
        <v>96</v>
      </c>
      <c r="F64" s="6" t="s">
        <v>97</v>
      </c>
      <c r="G64" s="5">
        <v>0.0</v>
      </c>
      <c r="H64" s="5">
        <v>0.0</v>
      </c>
      <c r="I64" s="7">
        <v>76.0</v>
      </c>
      <c r="J64" s="5">
        <v>0.0</v>
      </c>
      <c r="K64" s="7">
        <v>0.0</v>
      </c>
      <c r="L64" s="5">
        <v>0.0</v>
      </c>
      <c r="M64" s="8">
        <f t="shared" si="1"/>
        <v>76</v>
      </c>
      <c r="N64" s="4" t="s">
        <v>27</v>
      </c>
      <c r="O64" s="6" t="s">
        <v>36</v>
      </c>
      <c r="P64" s="1" t="s">
        <v>31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6" t="s">
        <v>93</v>
      </c>
      <c r="C65" s="1" t="s">
        <v>95</v>
      </c>
      <c r="D65" s="5">
        <v>90810.0</v>
      </c>
      <c r="E65" s="6" t="s">
        <v>96</v>
      </c>
      <c r="F65" s="6" t="s">
        <v>94</v>
      </c>
      <c r="G65" s="5">
        <v>0.0</v>
      </c>
      <c r="H65" s="5">
        <v>0.0</v>
      </c>
      <c r="I65" s="7">
        <v>37.0</v>
      </c>
      <c r="J65" s="5">
        <v>0.0</v>
      </c>
      <c r="K65" s="7">
        <v>0.0</v>
      </c>
      <c r="L65" s="5">
        <v>0.0</v>
      </c>
      <c r="M65" s="8">
        <f t="shared" si="1"/>
        <v>37</v>
      </c>
      <c r="N65" s="4" t="s">
        <v>27</v>
      </c>
      <c r="O65" s="6" t="s">
        <v>36</v>
      </c>
      <c r="P65" s="1" t="s">
        <v>31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6" t="s">
        <v>93</v>
      </c>
      <c r="C66" s="1" t="s">
        <v>95</v>
      </c>
      <c r="D66" s="5">
        <v>116602.0</v>
      </c>
      <c r="E66" s="6" t="s">
        <v>99</v>
      </c>
      <c r="F66" s="6" t="s">
        <v>100</v>
      </c>
      <c r="G66" s="5">
        <v>0.0</v>
      </c>
      <c r="H66" s="5">
        <v>0.0</v>
      </c>
      <c r="I66" s="7">
        <v>34.0</v>
      </c>
      <c r="J66" s="5">
        <v>0.0</v>
      </c>
      <c r="K66" s="7">
        <v>0.0</v>
      </c>
      <c r="L66" s="5">
        <v>0.0</v>
      </c>
      <c r="M66" s="8">
        <f t="shared" si="1"/>
        <v>34</v>
      </c>
      <c r="N66" s="4" t="s">
        <v>27</v>
      </c>
      <c r="O66" s="6" t="s">
        <v>36</v>
      </c>
      <c r="P66" s="1" t="s">
        <v>31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6" t="s">
        <v>93</v>
      </c>
      <c r="C67" s="1" t="s">
        <v>95</v>
      </c>
      <c r="D67" s="5">
        <v>116602.0</v>
      </c>
      <c r="E67" s="6" t="s">
        <v>99</v>
      </c>
      <c r="F67" s="6" t="s">
        <v>97</v>
      </c>
      <c r="G67" s="5">
        <v>0.0</v>
      </c>
      <c r="H67" s="5">
        <v>0.0</v>
      </c>
      <c r="I67" s="7">
        <v>35.0</v>
      </c>
      <c r="J67" s="5">
        <v>0.0</v>
      </c>
      <c r="K67" s="7">
        <v>0.0</v>
      </c>
      <c r="L67" s="5">
        <v>0.0</v>
      </c>
      <c r="M67" s="8">
        <f t="shared" si="1"/>
        <v>35</v>
      </c>
      <c r="N67" s="4" t="s">
        <v>27</v>
      </c>
      <c r="O67" s="6" t="s">
        <v>36</v>
      </c>
      <c r="P67" s="1" t="s">
        <v>31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6" t="s">
        <v>93</v>
      </c>
      <c r="C68" s="1" t="s">
        <v>95</v>
      </c>
      <c r="D68" s="5">
        <v>116602.0</v>
      </c>
      <c r="E68" s="6" t="s">
        <v>99</v>
      </c>
      <c r="F68" s="6" t="s">
        <v>94</v>
      </c>
      <c r="G68" s="5">
        <v>0.0</v>
      </c>
      <c r="H68" s="5">
        <v>0.0</v>
      </c>
      <c r="I68" s="7">
        <v>35.0</v>
      </c>
      <c r="J68" s="5">
        <v>0.0</v>
      </c>
      <c r="K68" s="7">
        <v>0.0</v>
      </c>
      <c r="L68" s="5">
        <v>0.0</v>
      </c>
      <c r="M68" s="8">
        <f t="shared" si="1"/>
        <v>35</v>
      </c>
      <c r="N68" s="4" t="s">
        <v>27</v>
      </c>
      <c r="O68" s="6" t="s">
        <v>36</v>
      </c>
      <c r="P68" s="1" t="s">
        <v>31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6" t="s">
        <v>93</v>
      </c>
      <c r="C69" s="1" t="s">
        <v>16</v>
      </c>
      <c r="D69" s="5">
        <v>104643.0</v>
      </c>
      <c r="E69" s="6" t="s">
        <v>17</v>
      </c>
      <c r="F69" s="6" t="s">
        <v>94</v>
      </c>
      <c r="G69" s="5">
        <v>0.0</v>
      </c>
      <c r="H69" s="5">
        <v>0.0</v>
      </c>
      <c r="I69" s="7">
        <v>39.0</v>
      </c>
      <c r="J69" s="5">
        <v>0.0</v>
      </c>
      <c r="K69" s="7">
        <v>0.0</v>
      </c>
      <c r="L69" s="5">
        <v>0.0</v>
      </c>
      <c r="M69" s="8">
        <f t="shared" si="1"/>
        <v>39</v>
      </c>
      <c r="N69" s="4" t="s">
        <v>27</v>
      </c>
      <c r="O69" s="6" t="s">
        <v>36</v>
      </c>
      <c r="P69" s="1" t="s">
        <v>31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6" t="s">
        <v>93</v>
      </c>
      <c r="C70" s="1" t="s">
        <v>16</v>
      </c>
      <c r="D70" s="5">
        <v>104640.0</v>
      </c>
      <c r="E70" s="6" t="s">
        <v>50</v>
      </c>
      <c r="F70" s="6" t="s">
        <v>98</v>
      </c>
      <c r="G70" s="5">
        <v>0.0</v>
      </c>
      <c r="H70" s="5">
        <v>0.0</v>
      </c>
      <c r="I70" s="7">
        <v>17.0</v>
      </c>
      <c r="J70" s="5">
        <v>0.0</v>
      </c>
      <c r="K70" s="7">
        <v>0.0</v>
      </c>
      <c r="L70" s="5">
        <v>0.0</v>
      </c>
      <c r="M70" s="8">
        <f t="shared" si="1"/>
        <v>17</v>
      </c>
      <c r="N70" s="4" t="s">
        <v>27</v>
      </c>
      <c r="O70" s="6" t="s">
        <v>36</v>
      </c>
      <c r="P70" s="1" t="s">
        <v>31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6" t="s">
        <v>93</v>
      </c>
      <c r="C71" s="1" t="s">
        <v>101</v>
      </c>
      <c r="D71" s="5">
        <v>117552.0</v>
      </c>
      <c r="E71" s="1" t="s">
        <v>102</v>
      </c>
      <c r="F71" s="6" t="s">
        <v>94</v>
      </c>
      <c r="G71" s="5">
        <v>0.0</v>
      </c>
      <c r="H71" s="5">
        <v>0.0</v>
      </c>
      <c r="I71" s="5">
        <v>0.0</v>
      </c>
      <c r="J71" s="7">
        <v>39.0</v>
      </c>
      <c r="K71" s="5">
        <v>0.0</v>
      </c>
      <c r="L71" s="5">
        <v>0.0</v>
      </c>
      <c r="M71" s="8">
        <f t="shared" si="1"/>
        <v>39</v>
      </c>
      <c r="N71" s="4" t="s">
        <v>27</v>
      </c>
      <c r="O71" s="6" t="s">
        <v>36</v>
      </c>
      <c r="P71" s="1" t="s">
        <v>31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6" t="s">
        <v>93</v>
      </c>
      <c r="C72" s="1" t="s">
        <v>101</v>
      </c>
      <c r="D72" s="5">
        <v>117552.0</v>
      </c>
      <c r="E72" s="1" t="s">
        <v>102</v>
      </c>
      <c r="F72" s="4" t="s">
        <v>103</v>
      </c>
      <c r="G72" s="5">
        <v>0.0</v>
      </c>
      <c r="H72" s="5">
        <v>0.0</v>
      </c>
      <c r="I72" s="5">
        <v>0.0</v>
      </c>
      <c r="J72" s="5">
        <v>0.0</v>
      </c>
      <c r="K72" s="5">
        <v>39.0</v>
      </c>
      <c r="L72" s="5">
        <v>0.0</v>
      </c>
      <c r="M72" s="8">
        <f t="shared" si="1"/>
        <v>39</v>
      </c>
      <c r="N72" s="4" t="s">
        <v>27</v>
      </c>
      <c r="O72" s="4" t="s">
        <v>36</v>
      </c>
      <c r="P72" s="1" t="s">
        <v>31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6" t="s">
        <v>93</v>
      </c>
      <c r="C73" s="1" t="s">
        <v>95</v>
      </c>
      <c r="D73" s="5">
        <v>117649.0</v>
      </c>
      <c r="E73" s="1" t="s">
        <v>104</v>
      </c>
      <c r="F73" s="4" t="s">
        <v>103</v>
      </c>
      <c r="G73" s="5">
        <v>0.0</v>
      </c>
      <c r="H73" s="5">
        <v>0.0</v>
      </c>
      <c r="I73" s="5">
        <v>0.0</v>
      </c>
      <c r="J73" s="5">
        <v>0.0</v>
      </c>
      <c r="K73" s="5">
        <v>48.0</v>
      </c>
      <c r="L73" s="5">
        <v>0.0</v>
      </c>
      <c r="M73" s="8">
        <f t="shared" si="1"/>
        <v>48</v>
      </c>
      <c r="N73" s="4" t="s">
        <v>27</v>
      </c>
      <c r="O73" s="4" t="s">
        <v>36</v>
      </c>
      <c r="P73" s="1" t="s">
        <v>31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6" t="s">
        <v>93</v>
      </c>
      <c r="C74" s="1" t="s">
        <v>95</v>
      </c>
      <c r="D74" s="5">
        <v>90810.0</v>
      </c>
      <c r="E74" s="6" t="s">
        <v>96</v>
      </c>
      <c r="F74" s="6" t="s">
        <v>97</v>
      </c>
      <c r="G74" s="5">
        <v>0.0</v>
      </c>
      <c r="H74" s="5">
        <v>0.0</v>
      </c>
      <c r="I74" s="5">
        <v>0.0</v>
      </c>
      <c r="J74" s="5">
        <v>0.0</v>
      </c>
      <c r="K74" s="5">
        <v>38.0</v>
      </c>
      <c r="L74" s="5">
        <v>0.0</v>
      </c>
      <c r="M74" s="8">
        <f t="shared" si="1"/>
        <v>38</v>
      </c>
      <c r="N74" s="4" t="s">
        <v>27</v>
      </c>
      <c r="O74" s="4" t="s">
        <v>36</v>
      </c>
      <c r="P74" s="1" t="s">
        <v>31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6" t="s">
        <v>93</v>
      </c>
      <c r="C75" s="1" t="s">
        <v>101</v>
      </c>
      <c r="D75" s="5">
        <v>117552.0</v>
      </c>
      <c r="E75" s="1" t="s">
        <v>102</v>
      </c>
      <c r="F75" s="4" t="s">
        <v>105</v>
      </c>
      <c r="G75" s="5">
        <v>0.0</v>
      </c>
      <c r="H75" s="5">
        <v>0.0</v>
      </c>
      <c r="I75" s="5">
        <v>0.0</v>
      </c>
      <c r="J75" s="5">
        <v>0.0</v>
      </c>
      <c r="K75" s="5">
        <v>30.0</v>
      </c>
      <c r="L75" s="5">
        <v>0.0</v>
      </c>
      <c r="M75" s="8">
        <f t="shared" si="1"/>
        <v>30</v>
      </c>
      <c r="N75" s="4" t="s">
        <v>27</v>
      </c>
      <c r="O75" s="4" t="s">
        <v>36</v>
      </c>
      <c r="P75" s="1" t="s">
        <v>31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6" t="s">
        <v>93</v>
      </c>
      <c r="C76" s="1" t="s">
        <v>95</v>
      </c>
      <c r="D76" s="5">
        <v>116487.0</v>
      </c>
      <c r="E76" s="1" t="s">
        <v>106</v>
      </c>
      <c r="F76" s="4" t="s">
        <v>105</v>
      </c>
      <c r="G76" s="5">
        <v>0.0</v>
      </c>
      <c r="H76" s="5">
        <v>0.0</v>
      </c>
      <c r="I76" s="5">
        <v>0.0</v>
      </c>
      <c r="J76" s="5">
        <v>0.0</v>
      </c>
      <c r="K76" s="5">
        <v>34.0</v>
      </c>
      <c r="L76" s="5">
        <v>0.0</v>
      </c>
      <c r="M76" s="8">
        <f t="shared" si="1"/>
        <v>34</v>
      </c>
      <c r="N76" s="4" t="s">
        <v>27</v>
      </c>
      <c r="O76" s="4" t="s">
        <v>36</v>
      </c>
      <c r="P76" s="1" t="s">
        <v>31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6" t="s">
        <v>93</v>
      </c>
      <c r="C77" s="1" t="s">
        <v>101</v>
      </c>
      <c r="D77" s="5">
        <v>117552.0</v>
      </c>
      <c r="E77" s="1" t="s">
        <v>102</v>
      </c>
      <c r="F77" s="4" t="s">
        <v>107</v>
      </c>
      <c r="G77" s="5">
        <v>0.0</v>
      </c>
      <c r="H77" s="5">
        <v>0.0</v>
      </c>
      <c r="I77" s="5">
        <v>0.0</v>
      </c>
      <c r="J77" s="5">
        <v>0.0</v>
      </c>
      <c r="K77" s="5">
        <v>24.0</v>
      </c>
      <c r="L77" s="5">
        <v>0.0</v>
      </c>
      <c r="M77" s="8">
        <f t="shared" si="1"/>
        <v>24</v>
      </c>
      <c r="N77" s="4" t="s">
        <v>27</v>
      </c>
      <c r="O77" s="4" t="s">
        <v>36</v>
      </c>
      <c r="P77" s="1" t="s">
        <v>31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6" t="s">
        <v>93</v>
      </c>
      <c r="C78" s="1" t="s">
        <v>101</v>
      </c>
      <c r="D78" s="5">
        <v>117552.0</v>
      </c>
      <c r="E78" s="1" t="s">
        <v>102</v>
      </c>
      <c r="F78" s="4" t="s">
        <v>108</v>
      </c>
      <c r="G78" s="5">
        <v>0.0</v>
      </c>
      <c r="H78" s="5">
        <v>0.0</v>
      </c>
      <c r="I78" s="5">
        <v>0.0</v>
      </c>
      <c r="J78" s="5">
        <v>0.0</v>
      </c>
      <c r="K78" s="5">
        <v>29.0</v>
      </c>
      <c r="L78" s="5">
        <v>0.0</v>
      </c>
      <c r="M78" s="8">
        <f t="shared" si="1"/>
        <v>29</v>
      </c>
      <c r="N78" s="4" t="s">
        <v>27</v>
      </c>
      <c r="O78" s="4" t="s">
        <v>36</v>
      </c>
      <c r="P78" s="1" t="s">
        <v>31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6" t="s">
        <v>93</v>
      </c>
      <c r="C79" s="1" t="s">
        <v>101</v>
      </c>
      <c r="D79" s="5">
        <v>117552.0</v>
      </c>
      <c r="E79" s="1" t="s">
        <v>102</v>
      </c>
      <c r="F79" s="4" t="s">
        <v>109</v>
      </c>
      <c r="G79" s="5">
        <v>0.0</v>
      </c>
      <c r="H79" s="5">
        <v>0.0</v>
      </c>
      <c r="I79" s="5">
        <v>0.0</v>
      </c>
      <c r="J79" s="5">
        <v>0.0</v>
      </c>
      <c r="K79" s="5">
        <v>26.0</v>
      </c>
      <c r="L79" s="5">
        <v>0.0</v>
      </c>
      <c r="M79" s="8">
        <f t="shared" si="1"/>
        <v>26</v>
      </c>
      <c r="N79" s="4" t="s">
        <v>27</v>
      </c>
      <c r="O79" s="4" t="s">
        <v>36</v>
      </c>
      <c r="P79" s="1" t="s">
        <v>31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6" t="s">
        <v>93</v>
      </c>
      <c r="C80" s="1" t="s">
        <v>95</v>
      </c>
      <c r="D80" s="5">
        <v>116487.0</v>
      </c>
      <c r="E80" s="1" t="s">
        <v>106</v>
      </c>
      <c r="F80" s="4" t="s">
        <v>110</v>
      </c>
      <c r="G80" s="5">
        <v>0.0</v>
      </c>
      <c r="H80" s="5">
        <v>0.0</v>
      </c>
      <c r="I80" s="5">
        <v>0.0</v>
      </c>
      <c r="J80" s="5">
        <v>0.0</v>
      </c>
      <c r="K80" s="5">
        <v>39.0</v>
      </c>
      <c r="L80" s="5">
        <v>0.0</v>
      </c>
      <c r="M80" s="8">
        <f t="shared" si="1"/>
        <v>39</v>
      </c>
      <c r="N80" s="4" t="s">
        <v>27</v>
      </c>
      <c r="O80" s="4" t="s">
        <v>36</v>
      </c>
      <c r="P80" s="1" t="s">
        <v>31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6" t="s">
        <v>93</v>
      </c>
      <c r="C81" s="1" t="s">
        <v>95</v>
      </c>
      <c r="D81" s="5">
        <v>116487.0</v>
      </c>
      <c r="E81" s="1" t="s">
        <v>106</v>
      </c>
      <c r="F81" s="4" t="s">
        <v>111</v>
      </c>
      <c r="G81" s="5">
        <v>0.0</v>
      </c>
      <c r="H81" s="5">
        <v>0.0</v>
      </c>
      <c r="I81" s="5">
        <v>0.0</v>
      </c>
      <c r="J81" s="5">
        <v>0.0</v>
      </c>
      <c r="K81" s="5">
        <v>26.0</v>
      </c>
      <c r="L81" s="5">
        <v>0.0</v>
      </c>
      <c r="M81" s="8">
        <f t="shared" si="1"/>
        <v>26</v>
      </c>
      <c r="N81" s="4" t="s">
        <v>27</v>
      </c>
      <c r="O81" s="4" t="s">
        <v>36</v>
      </c>
      <c r="P81" s="1" t="s">
        <v>31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6" t="s">
        <v>93</v>
      </c>
      <c r="C82" s="1" t="s">
        <v>95</v>
      </c>
      <c r="D82" s="5">
        <v>116487.0</v>
      </c>
      <c r="E82" s="1" t="s">
        <v>106</v>
      </c>
      <c r="F82" s="4" t="s">
        <v>112</v>
      </c>
      <c r="G82" s="5">
        <v>0.0</v>
      </c>
      <c r="H82" s="5">
        <v>0.0</v>
      </c>
      <c r="I82" s="5">
        <v>0.0</v>
      </c>
      <c r="J82" s="5">
        <v>0.0</v>
      </c>
      <c r="K82" s="5">
        <v>29.0</v>
      </c>
      <c r="L82" s="5">
        <v>0.0</v>
      </c>
      <c r="M82" s="8">
        <f t="shared" si="1"/>
        <v>29</v>
      </c>
      <c r="N82" s="4" t="s">
        <v>27</v>
      </c>
      <c r="O82" s="4" t="s">
        <v>36</v>
      </c>
      <c r="P82" s="1" t="s">
        <v>31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6" t="s">
        <v>93</v>
      </c>
      <c r="C83" s="1" t="s">
        <v>95</v>
      </c>
      <c r="D83" s="5">
        <v>116602.0</v>
      </c>
      <c r="E83" s="6" t="s">
        <v>99</v>
      </c>
      <c r="F83" s="4" t="s">
        <v>112</v>
      </c>
      <c r="G83" s="5">
        <v>0.0</v>
      </c>
      <c r="H83" s="5">
        <v>0.0</v>
      </c>
      <c r="I83" s="5">
        <v>0.0</v>
      </c>
      <c r="J83" s="5">
        <v>0.0</v>
      </c>
      <c r="K83" s="5">
        <v>33.0</v>
      </c>
      <c r="L83" s="5">
        <v>0.0</v>
      </c>
      <c r="M83" s="8">
        <f t="shared" si="1"/>
        <v>33</v>
      </c>
      <c r="N83" s="4" t="s">
        <v>27</v>
      </c>
      <c r="O83" s="4" t="s">
        <v>36</v>
      </c>
      <c r="P83" s="1" t="s">
        <v>31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6" t="s">
        <v>93</v>
      </c>
      <c r="C84" s="1" t="s">
        <v>95</v>
      </c>
      <c r="D84" s="5">
        <v>117649.0</v>
      </c>
      <c r="E84" s="1" t="s">
        <v>104</v>
      </c>
      <c r="F84" s="4" t="s">
        <v>113</v>
      </c>
      <c r="G84" s="5">
        <v>0.0</v>
      </c>
      <c r="H84" s="5">
        <v>0.0</v>
      </c>
      <c r="I84" s="5">
        <v>0.0</v>
      </c>
      <c r="J84" s="5">
        <v>0.0</v>
      </c>
      <c r="K84" s="5">
        <v>29.0</v>
      </c>
      <c r="L84" s="5">
        <v>0.0</v>
      </c>
      <c r="M84" s="8">
        <f t="shared" si="1"/>
        <v>29</v>
      </c>
      <c r="N84" s="4" t="s">
        <v>27</v>
      </c>
      <c r="O84" s="4" t="s">
        <v>36</v>
      </c>
      <c r="P84" s="1" t="s">
        <v>31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6" t="s">
        <v>93</v>
      </c>
      <c r="C85" s="1" t="s">
        <v>95</v>
      </c>
      <c r="D85" s="5">
        <v>116501.0</v>
      </c>
      <c r="E85" s="1" t="s">
        <v>114</v>
      </c>
      <c r="F85" s="4" t="s">
        <v>115</v>
      </c>
      <c r="G85" s="5">
        <v>0.0</v>
      </c>
      <c r="H85" s="5">
        <v>0.0</v>
      </c>
      <c r="I85" s="5">
        <v>0.0</v>
      </c>
      <c r="J85" s="5">
        <v>0.0</v>
      </c>
      <c r="K85" s="5">
        <v>20.0</v>
      </c>
      <c r="L85" s="5">
        <v>0.0</v>
      </c>
      <c r="M85" s="8">
        <f t="shared" si="1"/>
        <v>20</v>
      </c>
      <c r="N85" s="4" t="s">
        <v>27</v>
      </c>
      <c r="O85" s="4" t="s">
        <v>36</v>
      </c>
      <c r="P85" s="1" t="s">
        <v>31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0"/>
      <c r="B86" s="1" t="s">
        <v>116</v>
      </c>
      <c r="C86" s="1" t="s">
        <v>16</v>
      </c>
      <c r="D86" s="5">
        <v>104643.0</v>
      </c>
      <c r="E86" s="10" t="s">
        <v>17</v>
      </c>
      <c r="F86" s="10" t="s">
        <v>117</v>
      </c>
      <c r="G86" s="5">
        <v>0.0</v>
      </c>
      <c r="H86" s="11">
        <v>35.0</v>
      </c>
      <c r="I86" s="11">
        <v>0.0</v>
      </c>
      <c r="J86" s="11">
        <v>0.0</v>
      </c>
      <c r="K86" s="11">
        <v>0.0</v>
      </c>
      <c r="L86" s="11">
        <v>0.0</v>
      </c>
      <c r="M86" s="8">
        <f t="shared" si="1"/>
        <v>35</v>
      </c>
      <c r="N86" s="4" t="s">
        <v>27</v>
      </c>
      <c r="O86" s="10" t="s">
        <v>118</v>
      </c>
      <c r="P86" s="1" t="s">
        <v>34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" t="s">
        <v>116</v>
      </c>
      <c r="C87" s="1" t="s">
        <v>16</v>
      </c>
      <c r="D87" s="5">
        <v>104643.0</v>
      </c>
      <c r="E87" s="10" t="s">
        <v>17</v>
      </c>
      <c r="F87" s="10" t="s">
        <v>119</v>
      </c>
      <c r="G87" s="5">
        <v>0.0</v>
      </c>
      <c r="H87" s="11">
        <v>54.0</v>
      </c>
      <c r="I87" s="11">
        <v>0.0</v>
      </c>
      <c r="J87" s="11">
        <v>0.0</v>
      </c>
      <c r="K87" s="11">
        <v>0.0</v>
      </c>
      <c r="L87" s="11">
        <v>0.0</v>
      </c>
      <c r="M87" s="8">
        <f t="shared" si="1"/>
        <v>54</v>
      </c>
      <c r="N87" s="4" t="s">
        <v>27</v>
      </c>
      <c r="O87" s="10" t="s">
        <v>118</v>
      </c>
      <c r="P87" s="1" t="s">
        <v>34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" t="s">
        <v>116</v>
      </c>
      <c r="C88" s="1" t="s">
        <v>16</v>
      </c>
      <c r="D88" s="5">
        <v>54797.0</v>
      </c>
      <c r="E88" s="10" t="s">
        <v>53</v>
      </c>
      <c r="F88" s="10" t="s">
        <v>119</v>
      </c>
      <c r="G88" s="5">
        <v>0.0</v>
      </c>
      <c r="H88" s="11">
        <v>32.0</v>
      </c>
      <c r="I88" s="11">
        <v>0.0</v>
      </c>
      <c r="J88" s="11">
        <v>0.0</v>
      </c>
      <c r="K88" s="11">
        <v>0.0</v>
      </c>
      <c r="L88" s="11">
        <v>0.0</v>
      </c>
      <c r="M88" s="8">
        <f t="shared" si="1"/>
        <v>32</v>
      </c>
      <c r="N88" s="4" t="s">
        <v>27</v>
      </c>
      <c r="O88" s="10" t="s">
        <v>118</v>
      </c>
      <c r="P88" s="1" t="s">
        <v>34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" t="s">
        <v>116</v>
      </c>
      <c r="C89" s="1" t="s">
        <v>16</v>
      </c>
      <c r="D89" s="5">
        <v>54797.0</v>
      </c>
      <c r="E89" s="10" t="s">
        <v>53</v>
      </c>
      <c r="F89" s="10" t="s">
        <v>120</v>
      </c>
      <c r="G89" s="5">
        <v>0.0</v>
      </c>
      <c r="H89" s="11">
        <v>34.0</v>
      </c>
      <c r="I89" s="11">
        <v>0.0</v>
      </c>
      <c r="J89" s="11">
        <v>0.0</v>
      </c>
      <c r="K89" s="11">
        <v>0.0</v>
      </c>
      <c r="L89" s="11">
        <v>0.0</v>
      </c>
      <c r="M89" s="8">
        <f t="shared" si="1"/>
        <v>34</v>
      </c>
      <c r="N89" s="4" t="s">
        <v>27</v>
      </c>
      <c r="O89" s="10" t="s">
        <v>118</v>
      </c>
      <c r="P89" s="1" t="s">
        <v>34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" t="s">
        <v>116</v>
      </c>
      <c r="C90" s="1" t="s">
        <v>95</v>
      </c>
      <c r="D90" s="5">
        <v>90810.0</v>
      </c>
      <c r="E90" s="10" t="s">
        <v>96</v>
      </c>
      <c r="F90" s="10" t="s">
        <v>121</v>
      </c>
      <c r="G90" s="5">
        <v>0.0</v>
      </c>
      <c r="H90" s="11">
        <v>33.0</v>
      </c>
      <c r="I90" s="11">
        <v>0.0</v>
      </c>
      <c r="J90" s="11">
        <v>0.0</v>
      </c>
      <c r="K90" s="11">
        <v>0.0</v>
      </c>
      <c r="L90" s="11">
        <v>0.0</v>
      </c>
      <c r="M90" s="8">
        <f t="shared" si="1"/>
        <v>33</v>
      </c>
      <c r="N90" s="4" t="s">
        <v>27</v>
      </c>
      <c r="O90" s="10" t="s">
        <v>118</v>
      </c>
      <c r="P90" s="1" t="s">
        <v>34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" t="s">
        <v>116</v>
      </c>
      <c r="C91" s="1" t="s">
        <v>16</v>
      </c>
      <c r="D91" s="5">
        <v>104643.0</v>
      </c>
      <c r="E91" s="10" t="s">
        <v>17</v>
      </c>
      <c r="F91" s="10" t="s">
        <v>122</v>
      </c>
      <c r="G91" s="5">
        <v>0.0</v>
      </c>
      <c r="H91" s="11">
        <v>41.0</v>
      </c>
      <c r="I91" s="11">
        <v>0.0</v>
      </c>
      <c r="J91" s="11">
        <v>0.0</v>
      </c>
      <c r="K91" s="11">
        <v>0.0</v>
      </c>
      <c r="L91" s="11">
        <v>0.0</v>
      </c>
      <c r="M91" s="8">
        <f t="shared" si="1"/>
        <v>41</v>
      </c>
      <c r="N91" s="4" t="s">
        <v>27</v>
      </c>
      <c r="O91" s="6" t="s">
        <v>45</v>
      </c>
      <c r="P91" s="1" t="s">
        <v>31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" t="s">
        <v>116</v>
      </c>
      <c r="C92" s="1" t="s">
        <v>16</v>
      </c>
      <c r="D92" s="5">
        <v>104643.0</v>
      </c>
      <c r="E92" s="10" t="s">
        <v>17</v>
      </c>
      <c r="F92" s="10" t="s">
        <v>123</v>
      </c>
      <c r="G92" s="5">
        <v>0.0</v>
      </c>
      <c r="H92" s="11">
        <v>36.0</v>
      </c>
      <c r="I92" s="11">
        <v>0.0</v>
      </c>
      <c r="J92" s="11">
        <v>0.0</v>
      </c>
      <c r="K92" s="11">
        <v>0.0</v>
      </c>
      <c r="L92" s="11">
        <v>0.0</v>
      </c>
      <c r="M92" s="8">
        <f t="shared" si="1"/>
        <v>36</v>
      </c>
      <c r="N92" s="4" t="s">
        <v>27</v>
      </c>
      <c r="O92" s="6" t="s">
        <v>45</v>
      </c>
      <c r="P92" s="1" t="s">
        <v>31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" t="s">
        <v>116</v>
      </c>
      <c r="C93" s="1" t="s">
        <v>16</v>
      </c>
      <c r="D93" s="5">
        <v>104641.0</v>
      </c>
      <c r="E93" s="10" t="s">
        <v>42</v>
      </c>
      <c r="F93" s="10" t="s">
        <v>124</v>
      </c>
      <c r="G93" s="5">
        <v>0.0</v>
      </c>
      <c r="H93" s="11">
        <v>26.0</v>
      </c>
      <c r="I93" s="11">
        <v>0.0</v>
      </c>
      <c r="J93" s="11">
        <v>0.0</v>
      </c>
      <c r="K93" s="11">
        <v>0.0</v>
      </c>
      <c r="L93" s="11">
        <v>0.0</v>
      </c>
      <c r="M93" s="8">
        <f t="shared" si="1"/>
        <v>26</v>
      </c>
      <c r="N93" s="4" t="s">
        <v>27</v>
      </c>
      <c r="O93" s="10" t="s">
        <v>28</v>
      </c>
      <c r="P93" s="1" t="s">
        <v>21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" t="s">
        <v>116</v>
      </c>
      <c r="C94" s="1" t="s">
        <v>16</v>
      </c>
      <c r="D94" s="5">
        <v>102501.0</v>
      </c>
      <c r="E94" s="10" t="s">
        <v>125</v>
      </c>
      <c r="F94" s="10" t="s">
        <v>126</v>
      </c>
      <c r="G94" s="5">
        <v>0.0</v>
      </c>
      <c r="H94" s="11">
        <v>24.0</v>
      </c>
      <c r="I94" s="11">
        <v>0.0</v>
      </c>
      <c r="J94" s="11">
        <v>0.0</v>
      </c>
      <c r="K94" s="11">
        <v>0.0</v>
      </c>
      <c r="L94" s="11">
        <v>0.0</v>
      </c>
      <c r="M94" s="8">
        <f t="shared" si="1"/>
        <v>24</v>
      </c>
      <c r="N94" s="4" t="s">
        <v>27</v>
      </c>
      <c r="O94" s="10" t="s">
        <v>127</v>
      </c>
      <c r="P94" s="1" t="s">
        <v>21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" t="s">
        <v>116</v>
      </c>
      <c r="C95" s="1" t="s">
        <v>128</v>
      </c>
      <c r="D95" s="5">
        <v>116496.0</v>
      </c>
      <c r="E95" s="1" t="s">
        <v>129</v>
      </c>
      <c r="F95" s="1" t="s">
        <v>130</v>
      </c>
      <c r="G95" s="5">
        <v>0.0</v>
      </c>
      <c r="H95" s="5">
        <v>0.0</v>
      </c>
      <c r="I95" s="11">
        <v>15.0</v>
      </c>
      <c r="J95" s="11">
        <v>0.0</v>
      </c>
      <c r="K95" s="11">
        <v>0.0</v>
      </c>
      <c r="L95" s="11">
        <v>0.0</v>
      </c>
      <c r="M95" s="8">
        <f t="shared" si="1"/>
        <v>15</v>
      </c>
      <c r="N95" s="4" t="s">
        <v>27</v>
      </c>
      <c r="O95" s="1" t="s">
        <v>118</v>
      </c>
      <c r="P95" s="1" t="s">
        <v>34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" t="s">
        <v>116</v>
      </c>
      <c r="C96" s="1" t="s">
        <v>128</v>
      </c>
      <c r="D96" s="5">
        <v>116496.0</v>
      </c>
      <c r="E96" s="1" t="s">
        <v>129</v>
      </c>
      <c r="F96" s="1" t="s">
        <v>130</v>
      </c>
      <c r="G96" s="5">
        <v>0.0</v>
      </c>
      <c r="H96" s="5">
        <v>0.0</v>
      </c>
      <c r="I96" s="11">
        <v>24.0</v>
      </c>
      <c r="J96" s="11">
        <v>0.0</v>
      </c>
      <c r="K96" s="11">
        <v>0.0</v>
      </c>
      <c r="L96" s="11">
        <v>0.0</v>
      </c>
      <c r="M96" s="8">
        <f t="shared" si="1"/>
        <v>24</v>
      </c>
      <c r="N96" s="4" t="s">
        <v>27</v>
      </c>
      <c r="O96" s="1" t="s">
        <v>118</v>
      </c>
      <c r="P96" s="1" t="s">
        <v>34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" t="s">
        <v>116</v>
      </c>
      <c r="C97" s="1" t="s">
        <v>128</v>
      </c>
      <c r="D97" s="5">
        <v>116496.0</v>
      </c>
      <c r="E97" s="1" t="s">
        <v>129</v>
      </c>
      <c r="F97" s="1" t="s">
        <v>130</v>
      </c>
      <c r="G97" s="5">
        <v>0.0</v>
      </c>
      <c r="H97" s="5">
        <v>0.0</v>
      </c>
      <c r="I97" s="11">
        <v>18.0</v>
      </c>
      <c r="J97" s="11">
        <v>0.0</v>
      </c>
      <c r="K97" s="11">
        <v>0.0</v>
      </c>
      <c r="L97" s="11">
        <v>0.0</v>
      </c>
      <c r="M97" s="8">
        <f t="shared" si="1"/>
        <v>18</v>
      </c>
      <c r="N97" s="4" t="s">
        <v>27</v>
      </c>
      <c r="O97" s="1" t="s">
        <v>118</v>
      </c>
      <c r="P97" s="1" t="s">
        <v>34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" t="s">
        <v>116</v>
      </c>
      <c r="C98" s="1" t="s">
        <v>95</v>
      </c>
      <c r="D98" s="5">
        <v>116602.0</v>
      </c>
      <c r="E98" s="1" t="s">
        <v>99</v>
      </c>
      <c r="F98" s="1" t="s">
        <v>131</v>
      </c>
      <c r="G98" s="5">
        <v>0.0</v>
      </c>
      <c r="H98" s="5">
        <v>0.0</v>
      </c>
      <c r="I98" s="11">
        <v>24.0</v>
      </c>
      <c r="J98" s="11">
        <v>0.0</v>
      </c>
      <c r="K98" s="11">
        <v>0.0</v>
      </c>
      <c r="L98" s="11">
        <v>0.0</v>
      </c>
      <c r="M98" s="8">
        <f t="shared" si="1"/>
        <v>24</v>
      </c>
      <c r="N98" s="4" t="s">
        <v>27</v>
      </c>
      <c r="O98" s="1" t="s">
        <v>118</v>
      </c>
      <c r="P98" s="1" t="s">
        <v>34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" t="s">
        <v>116</v>
      </c>
      <c r="C99" s="1" t="s">
        <v>95</v>
      </c>
      <c r="D99" s="5">
        <v>116602.0</v>
      </c>
      <c r="E99" s="1" t="s">
        <v>99</v>
      </c>
      <c r="F99" s="1" t="s">
        <v>132</v>
      </c>
      <c r="G99" s="5">
        <v>0.0</v>
      </c>
      <c r="H99" s="5">
        <v>0.0</v>
      </c>
      <c r="I99" s="11">
        <v>29.0</v>
      </c>
      <c r="J99" s="11">
        <v>0.0</v>
      </c>
      <c r="K99" s="11">
        <v>0.0</v>
      </c>
      <c r="L99" s="11">
        <v>0.0</v>
      </c>
      <c r="M99" s="8">
        <f t="shared" si="1"/>
        <v>29</v>
      </c>
      <c r="N99" s="4" t="s">
        <v>27</v>
      </c>
      <c r="O99" s="1" t="s">
        <v>118</v>
      </c>
      <c r="P99" s="1" t="s">
        <v>34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" t="s">
        <v>116</v>
      </c>
      <c r="C100" s="1" t="s">
        <v>95</v>
      </c>
      <c r="D100" s="5">
        <v>116602.0</v>
      </c>
      <c r="E100" s="1" t="s">
        <v>99</v>
      </c>
      <c r="F100" s="1" t="s">
        <v>133</v>
      </c>
      <c r="G100" s="5">
        <v>0.0</v>
      </c>
      <c r="H100" s="5">
        <v>0.0</v>
      </c>
      <c r="I100" s="11">
        <v>14.0</v>
      </c>
      <c r="J100" s="11">
        <v>0.0</v>
      </c>
      <c r="K100" s="11">
        <v>0.0</v>
      </c>
      <c r="L100" s="11">
        <v>0.0</v>
      </c>
      <c r="M100" s="8">
        <f t="shared" si="1"/>
        <v>14</v>
      </c>
      <c r="N100" s="4" t="s">
        <v>27</v>
      </c>
      <c r="O100" s="1" t="s">
        <v>118</v>
      </c>
      <c r="P100" s="1" t="s">
        <v>34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" t="s">
        <v>116</v>
      </c>
      <c r="C101" s="1" t="s">
        <v>95</v>
      </c>
      <c r="D101" s="5">
        <v>116602.0</v>
      </c>
      <c r="E101" s="1" t="s">
        <v>99</v>
      </c>
      <c r="F101" s="1" t="s">
        <v>133</v>
      </c>
      <c r="G101" s="5">
        <v>0.0</v>
      </c>
      <c r="H101" s="5">
        <v>0.0</v>
      </c>
      <c r="I101" s="11">
        <v>16.0</v>
      </c>
      <c r="J101" s="11">
        <v>0.0</v>
      </c>
      <c r="K101" s="11">
        <v>0.0</v>
      </c>
      <c r="L101" s="11">
        <v>0.0</v>
      </c>
      <c r="M101" s="8">
        <f t="shared" si="1"/>
        <v>16</v>
      </c>
      <c r="N101" s="4" t="s">
        <v>27</v>
      </c>
      <c r="O101" s="1" t="s">
        <v>118</v>
      </c>
      <c r="P101" s="1" t="s">
        <v>34</v>
      </c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" t="s">
        <v>116</v>
      </c>
      <c r="C102" s="1" t="s">
        <v>95</v>
      </c>
      <c r="D102" s="5">
        <v>116480.0</v>
      </c>
      <c r="E102" s="1" t="s">
        <v>134</v>
      </c>
      <c r="F102" s="1" t="s">
        <v>133</v>
      </c>
      <c r="G102" s="5">
        <v>0.0</v>
      </c>
      <c r="H102" s="5">
        <v>0.0</v>
      </c>
      <c r="I102" s="11">
        <v>29.0</v>
      </c>
      <c r="J102" s="11">
        <v>0.0</v>
      </c>
      <c r="K102" s="11">
        <v>0.0</v>
      </c>
      <c r="L102" s="11">
        <v>0.0</v>
      </c>
      <c r="M102" s="8">
        <f t="shared" si="1"/>
        <v>29</v>
      </c>
      <c r="N102" s="4" t="s">
        <v>27</v>
      </c>
      <c r="O102" s="1" t="s">
        <v>118</v>
      </c>
      <c r="P102" s="1" t="s">
        <v>34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" t="s">
        <v>116</v>
      </c>
      <c r="C103" s="1" t="s">
        <v>95</v>
      </c>
      <c r="D103" s="5">
        <v>116503.0</v>
      </c>
      <c r="E103" s="1" t="s">
        <v>135</v>
      </c>
      <c r="F103" s="1" t="s">
        <v>136</v>
      </c>
      <c r="G103" s="5">
        <v>0.0</v>
      </c>
      <c r="H103" s="5">
        <v>0.0</v>
      </c>
      <c r="I103" s="11">
        <v>20.0</v>
      </c>
      <c r="J103" s="11">
        <v>0.0</v>
      </c>
      <c r="K103" s="11">
        <v>0.0</v>
      </c>
      <c r="L103" s="11">
        <v>0.0</v>
      </c>
      <c r="M103" s="8">
        <f t="shared" si="1"/>
        <v>20</v>
      </c>
      <c r="N103" s="4" t="s">
        <v>27</v>
      </c>
      <c r="O103" s="1" t="s">
        <v>38</v>
      </c>
      <c r="P103" s="1" t="s">
        <v>24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" t="s">
        <v>116</v>
      </c>
      <c r="C104" s="1" t="s">
        <v>95</v>
      </c>
      <c r="D104" s="5">
        <v>116602.0</v>
      </c>
      <c r="E104" s="1" t="s">
        <v>99</v>
      </c>
      <c r="F104" s="1" t="s">
        <v>137</v>
      </c>
      <c r="G104" s="5">
        <v>0.0</v>
      </c>
      <c r="H104" s="5">
        <v>0.0</v>
      </c>
      <c r="I104" s="11">
        <v>36.0</v>
      </c>
      <c r="J104" s="11">
        <v>0.0</v>
      </c>
      <c r="K104" s="11">
        <v>0.0</v>
      </c>
      <c r="L104" s="11">
        <v>0.0</v>
      </c>
      <c r="M104" s="8">
        <f t="shared" si="1"/>
        <v>36</v>
      </c>
      <c r="N104" s="4" t="s">
        <v>27</v>
      </c>
      <c r="O104" s="1" t="s">
        <v>38</v>
      </c>
      <c r="P104" s="1" t="s">
        <v>24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" t="s">
        <v>116</v>
      </c>
      <c r="C105" s="1" t="s">
        <v>95</v>
      </c>
      <c r="D105" s="5">
        <v>116602.0</v>
      </c>
      <c r="E105" s="1" t="s">
        <v>99</v>
      </c>
      <c r="F105" s="1" t="s">
        <v>138</v>
      </c>
      <c r="G105" s="5">
        <v>0.0</v>
      </c>
      <c r="H105" s="5">
        <v>0.0</v>
      </c>
      <c r="I105" s="11">
        <v>17.0</v>
      </c>
      <c r="J105" s="11">
        <v>0.0</v>
      </c>
      <c r="K105" s="11">
        <v>0.0</v>
      </c>
      <c r="L105" s="11">
        <v>0.0</v>
      </c>
      <c r="M105" s="8">
        <f t="shared" si="1"/>
        <v>17</v>
      </c>
      <c r="N105" s="4" t="s">
        <v>27</v>
      </c>
      <c r="O105" s="1" t="s">
        <v>38</v>
      </c>
      <c r="P105" s="1" t="s">
        <v>24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" t="s">
        <v>116</v>
      </c>
      <c r="C106" s="1" t="s">
        <v>95</v>
      </c>
      <c r="D106" s="5">
        <v>116487.0</v>
      </c>
      <c r="E106" s="1" t="s">
        <v>106</v>
      </c>
      <c r="F106" s="1" t="s">
        <v>139</v>
      </c>
      <c r="G106" s="5">
        <v>0.0</v>
      </c>
      <c r="H106" s="5">
        <v>0.0</v>
      </c>
      <c r="I106" s="11">
        <v>28.0</v>
      </c>
      <c r="J106" s="11">
        <v>0.0</v>
      </c>
      <c r="K106" s="11">
        <v>0.0</v>
      </c>
      <c r="L106" s="11">
        <v>0.0</v>
      </c>
      <c r="M106" s="8">
        <f t="shared" si="1"/>
        <v>28</v>
      </c>
      <c r="N106" s="4" t="s">
        <v>27</v>
      </c>
      <c r="O106" s="1" t="s">
        <v>38</v>
      </c>
      <c r="P106" s="1" t="s">
        <v>24</v>
      </c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" t="s">
        <v>116</v>
      </c>
      <c r="C107" s="1" t="s">
        <v>95</v>
      </c>
      <c r="D107" s="5">
        <v>116503.0</v>
      </c>
      <c r="E107" s="1" t="s">
        <v>135</v>
      </c>
      <c r="F107" s="1" t="s">
        <v>140</v>
      </c>
      <c r="G107" s="5">
        <v>0.0</v>
      </c>
      <c r="H107" s="5">
        <v>0.0</v>
      </c>
      <c r="I107" s="11">
        <v>17.0</v>
      </c>
      <c r="J107" s="11">
        <v>0.0</v>
      </c>
      <c r="K107" s="11">
        <v>0.0</v>
      </c>
      <c r="L107" s="11">
        <v>0.0</v>
      </c>
      <c r="M107" s="8">
        <f t="shared" si="1"/>
        <v>17</v>
      </c>
      <c r="N107" s="4" t="s">
        <v>27</v>
      </c>
      <c r="O107" s="6" t="s">
        <v>45</v>
      </c>
      <c r="P107" s="1" t="s">
        <v>31</v>
      </c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" t="s">
        <v>116</v>
      </c>
      <c r="C108" s="1" t="s">
        <v>95</v>
      </c>
      <c r="D108" s="5">
        <v>116501.0</v>
      </c>
      <c r="E108" s="1" t="s">
        <v>141</v>
      </c>
      <c r="F108" s="1" t="s">
        <v>142</v>
      </c>
      <c r="G108" s="5">
        <v>0.0</v>
      </c>
      <c r="H108" s="5">
        <v>0.0</v>
      </c>
      <c r="I108" s="11">
        <v>16.0</v>
      </c>
      <c r="J108" s="11">
        <v>0.0</v>
      </c>
      <c r="K108" s="11">
        <v>0.0</v>
      </c>
      <c r="L108" s="11">
        <v>0.0</v>
      </c>
      <c r="M108" s="8">
        <f t="shared" si="1"/>
        <v>16</v>
      </c>
      <c r="N108" s="4" t="s">
        <v>27</v>
      </c>
      <c r="O108" s="6" t="s">
        <v>45</v>
      </c>
      <c r="P108" s="1" t="s">
        <v>31</v>
      </c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" t="s">
        <v>116</v>
      </c>
      <c r="C109" s="1" t="s">
        <v>128</v>
      </c>
      <c r="D109" s="5">
        <v>116502.0</v>
      </c>
      <c r="E109" s="1" t="s">
        <v>143</v>
      </c>
      <c r="F109" s="1" t="s">
        <v>142</v>
      </c>
      <c r="G109" s="5">
        <v>0.0</v>
      </c>
      <c r="H109" s="5">
        <v>0.0</v>
      </c>
      <c r="I109" s="11">
        <v>24.0</v>
      </c>
      <c r="J109" s="11">
        <v>0.0</v>
      </c>
      <c r="K109" s="11">
        <v>0.0</v>
      </c>
      <c r="L109" s="11">
        <v>0.0</v>
      </c>
      <c r="M109" s="8">
        <f t="shared" si="1"/>
        <v>24</v>
      </c>
      <c r="N109" s="4" t="s">
        <v>27</v>
      </c>
      <c r="O109" s="6" t="s">
        <v>45</v>
      </c>
      <c r="P109" s="1" t="s">
        <v>31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" t="s">
        <v>116</v>
      </c>
      <c r="C110" s="1" t="s">
        <v>128</v>
      </c>
      <c r="D110" s="5">
        <v>116496.0</v>
      </c>
      <c r="E110" s="1" t="s">
        <v>129</v>
      </c>
      <c r="F110" s="1" t="s">
        <v>144</v>
      </c>
      <c r="G110" s="5">
        <v>0.0</v>
      </c>
      <c r="H110" s="5">
        <v>0.0</v>
      </c>
      <c r="I110" s="11">
        <v>23.0</v>
      </c>
      <c r="J110" s="11">
        <v>0.0</v>
      </c>
      <c r="K110" s="11">
        <v>0.0</v>
      </c>
      <c r="L110" s="11">
        <v>0.0</v>
      </c>
      <c r="M110" s="8">
        <f t="shared" si="1"/>
        <v>23</v>
      </c>
      <c r="N110" s="4" t="s">
        <v>27</v>
      </c>
      <c r="O110" s="1" t="s">
        <v>30</v>
      </c>
      <c r="P110" s="1" t="s">
        <v>31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" t="s">
        <v>116</v>
      </c>
      <c r="C111" s="1" t="s">
        <v>95</v>
      </c>
      <c r="D111" s="5">
        <v>116602.0</v>
      </c>
      <c r="E111" s="1" t="s">
        <v>99</v>
      </c>
      <c r="F111" s="1" t="s">
        <v>144</v>
      </c>
      <c r="G111" s="5">
        <v>0.0</v>
      </c>
      <c r="H111" s="5">
        <v>0.0</v>
      </c>
      <c r="I111" s="11">
        <v>31.0</v>
      </c>
      <c r="J111" s="11">
        <v>0.0</v>
      </c>
      <c r="K111" s="11">
        <v>0.0</v>
      </c>
      <c r="L111" s="11">
        <v>0.0</v>
      </c>
      <c r="M111" s="8">
        <f t="shared" si="1"/>
        <v>31</v>
      </c>
      <c r="N111" s="4" t="s">
        <v>27</v>
      </c>
      <c r="O111" s="1" t="s">
        <v>30</v>
      </c>
      <c r="P111" s="1" t="s">
        <v>31</v>
      </c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" t="s">
        <v>116</v>
      </c>
      <c r="C112" s="1" t="s">
        <v>95</v>
      </c>
      <c r="D112" s="5">
        <v>116602.0</v>
      </c>
      <c r="E112" s="1" t="s">
        <v>99</v>
      </c>
      <c r="F112" s="1" t="s">
        <v>145</v>
      </c>
      <c r="G112" s="5">
        <v>0.0</v>
      </c>
      <c r="H112" s="5">
        <v>0.0</v>
      </c>
      <c r="I112" s="11">
        <v>30.0</v>
      </c>
      <c r="J112" s="11">
        <v>0.0</v>
      </c>
      <c r="K112" s="11">
        <v>0.0</v>
      </c>
      <c r="L112" s="11">
        <v>0.0</v>
      </c>
      <c r="M112" s="8">
        <f t="shared" si="1"/>
        <v>30</v>
      </c>
      <c r="N112" s="4" t="s">
        <v>27</v>
      </c>
      <c r="O112" s="1" t="s">
        <v>146</v>
      </c>
      <c r="P112" s="1" t="s">
        <v>31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" t="s">
        <v>116</v>
      </c>
      <c r="C113" s="1" t="s">
        <v>95</v>
      </c>
      <c r="D113" s="5">
        <v>116487.0</v>
      </c>
      <c r="E113" s="1" t="s">
        <v>106</v>
      </c>
      <c r="F113" s="1" t="s">
        <v>147</v>
      </c>
      <c r="G113" s="5">
        <v>0.0</v>
      </c>
      <c r="H113" s="5">
        <v>0.0</v>
      </c>
      <c r="I113" s="11">
        <v>31.0</v>
      </c>
      <c r="J113" s="11">
        <v>0.0</v>
      </c>
      <c r="K113" s="11">
        <v>0.0</v>
      </c>
      <c r="L113" s="11">
        <v>0.0</v>
      </c>
      <c r="M113" s="8">
        <f t="shared" si="1"/>
        <v>31</v>
      </c>
      <c r="N113" s="4" t="s">
        <v>27</v>
      </c>
      <c r="O113" s="1" t="s">
        <v>148</v>
      </c>
      <c r="P113" s="1" t="s">
        <v>24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" t="s">
        <v>116</v>
      </c>
      <c r="C114" s="1" t="s">
        <v>95</v>
      </c>
      <c r="D114" s="5">
        <v>116602.0</v>
      </c>
      <c r="E114" s="1" t="s">
        <v>99</v>
      </c>
      <c r="F114" s="1" t="s">
        <v>149</v>
      </c>
      <c r="G114" s="5">
        <v>0.0</v>
      </c>
      <c r="H114" s="5">
        <v>0.0</v>
      </c>
      <c r="I114" s="11">
        <v>21.0</v>
      </c>
      <c r="J114" s="11">
        <v>0.0</v>
      </c>
      <c r="K114" s="11">
        <v>0.0</v>
      </c>
      <c r="L114" s="11">
        <v>0.0</v>
      </c>
      <c r="M114" s="8">
        <f t="shared" si="1"/>
        <v>21</v>
      </c>
      <c r="N114" s="4" t="s">
        <v>27</v>
      </c>
      <c r="O114" s="1" t="s">
        <v>150</v>
      </c>
      <c r="P114" s="1" t="s">
        <v>24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" t="s">
        <v>116</v>
      </c>
      <c r="C115" s="1" t="s">
        <v>95</v>
      </c>
      <c r="D115" s="5">
        <v>116602.0</v>
      </c>
      <c r="E115" s="1" t="s">
        <v>99</v>
      </c>
      <c r="F115" s="1" t="s">
        <v>149</v>
      </c>
      <c r="G115" s="5">
        <v>0.0</v>
      </c>
      <c r="H115" s="5">
        <v>0.0</v>
      </c>
      <c r="I115" s="11">
        <v>22.0</v>
      </c>
      <c r="J115" s="11">
        <v>0.0</v>
      </c>
      <c r="K115" s="11">
        <v>0.0</v>
      </c>
      <c r="L115" s="11">
        <v>0.0</v>
      </c>
      <c r="M115" s="8">
        <f t="shared" si="1"/>
        <v>22</v>
      </c>
      <c r="N115" s="4" t="s">
        <v>27</v>
      </c>
      <c r="O115" s="1" t="s">
        <v>150</v>
      </c>
      <c r="P115" s="1" t="s">
        <v>24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" t="s">
        <v>116</v>
      </c>
      <c r="C116" s="1" t="s">
        <v>95</v>
      </c>
      <c r="D116" s="5">
        <v>116503.0</v>
      </c>
      <c r="E116" s="1" t="s">
        <v>135</v>
      </c>
      <c r="F116" s="1" t="s">
        <v>151</v>
      </c>
      <c r="G116" s="5">
        <v>0.0</v>
      </c>
      <c r="H116" s="5">
        <v>0.0</v>
      </c>
      <c r="I116" s="11">
        <v>29.0</v>
      </c>
      <c r="J116" s="11">
        <v>0.0</v>
      </c>
      <c r="K116" s="11">
        <v>0.0</v>
      </c>
      <c r="L116" s="11">
        <v>0.0</v>
      </c>
      <c r="M116" s="8">
        <f t="shared" si="1"/>
        <v>29</v>
      </c>
      <c r="N116" s="4" t="s">
        <v>27</v>
      </c>
      <c r="O116" s="1" t="s">
        <v>127</v>
      </c>
      <c r="P116" s="1" t="s">
        <v>21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" t="s">
        <v>116</v>
      </c>
      <c r="C117" s="1" t="s">
        <v>95</v>
      </c>
      <c r="D117" s="5">
        <v>116602.0</v>
      </c>
      <c r="E117" s="1" t="s">
        <v>99</v>
      </c>
      <c r="F117" s="1" t="s">
        <v>152</v>
      </c>
      <c r="G117" s="5">
        <v>0.0</v>
      </c>
      <c r="H117" s="5">
        <v>0.0</v>
      </c>
      <c r="I117" s="11">
        <v>27.0</v>
      </c>
      <c r="J117" s="11">
        <v>0.0</v>
      </c>
      <c r="K117" s="11">
        <v>0.0</v>
      </c>
      <c r="L117" s="11">
        <v>0.0</v>
      </c>
      <c r="M117" s="8">
        <f t="shared" si="1"/>
        <v>27</v>
      </c>
      <c r="N117" s="4" t="s">
        <v>27</v>
      </c>
      <c r="O117" s="1" t="s">
        <v>127</v>
      </c>
      <c r="P117" s="1" t="s">
        <v>21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" t="s">
        <v>116</v>
      </c>
      <c r="C118" s="1" t="s">
        <v>95</v>
      </c>
      <c r="D118" s="5">
        <v>116480.0</v>
      </c>
      <c r="E118" s="1" t="s">
        <v>134</v>
      </c>
      <c r="F118" s="1" t="s">
        <v>144</v>
      </c>
      <c r="G118" s="5">
        <v>0.0</v>
      </c>
      <c r="H118" s="5">
        <v>0.0</v>
      </c>
      <c r="I118" s="11">
        <v>14.0</v>
      </c>
      <c r="J118" s="11">
        <v>0.0</v>
      </c>
      <c r="K118" s="11">
        <v>0.0</v>
      </c>
      <c r="L118" s="11">
        <v>0.0</v>
      </c>
      <c r="M118" s="8">
        <f t="shared" si="1"/>
        <v>14</v>
      </c>
      <c r="N118" s="4" t="s">
        <v>27</v>
      </c>
      <c r="O118" s="1" t="s">
        <v>47</v>
      </c>
      <c r="P118" s="1" t="s">
        <v>21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" t="s">
        <v>116</v>
      </c>
      <c r="C119" s="1" t="s">
        <v>95</v>
      </c>
      <c r="D119" s="5">
        <v>116602.0</v>
      </c>
      <c r="E119" s="1" t="s">
        <v>99</v>
      </c>
      <c r="F119" s="1" t="s">
        <v>144</v>
      </c>
      <c r="G119" s="5">
        <v>0.0</v>
      </c>
      <c r="H119" s="5">
        <v>0.0</v>
      </c>
      <c r="I119" s="11">
        <v>19.0</v>
      </c>
      <c r="J119" s="11">
        <v>0.0</v>
      </c>
      <c r="K119" s="11">
        <v>0.0</v>
      </c>
      <c r="L119" s="11">
        <v>0.0</v>
      </c>
      <c r="M119" s="8">
        <f t="shared" si="1"/>
        <v>19</v>
      </c>
      <c r="N119" s="4" t="s">
        <v>27</v>
      </c>
      <c r="O119" s="1" t="s">
        <v>47</v>
      </c>
      <c r="P119" s="1" t="s">
        <v>21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" t="s">
        <v>116</v>
      </c>
      <c r="C120" s="1" t="s">
        <v>95</v>
      </c>
      <c r="D120" s="5">
        <v>116503.0</v>
      </c>
      <c r="E120" s="1" t="s">
        <v>135</v>
      </c>
      <c r="F120" s="1" t="s">
        <v>153</v>
      </c>
      <c r="G120" s="5">
        <v>0.0</v>
      </c>
      <c r="H120" s="5">
        <v>0.0</v>
      </c>
      <c r="I120" s="11">
        <v>22.0</v>
      </c>
      <c r="J120" s="11">
        <v>0.0</v>
      </c>
      <c r="K120" s="11">
        <v>0.0</v>
      </c>
      <c r="L120" s="11">
        <v>0.0</v>
      </c>
      <c r="M120" s="8">
        <f t="shared" si="1"/>
        <v>22</v>
      </c>
      <c r="N120" s="4" t="s">
        <v>27</v>
      </c>
      <c r="O120" s="1" t="s">
        <v>154</v>
      </c>
      <c r="P120" s="1" t="s">
        <v>34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" t="s">
        <v>116</v>
      </c>
      <c r="C121" s="1" t="s">
        <v>95</v>
      </c>
      <c r="D121" s="5">
        <v>116602.0</v>
      </c>
      <c r="E121" s="1" t="s">
        <v>99</v>
      </c>
      <c r="F121" s="1" t="s">
        <v>155</v>
      </c>
      <c r="G121" s="5">
        <v>0.0</v>
      </c>
      <c r="H121" s="5">
        <v>0.0</v>
      </c>
      <c r="I121" s="11">
        <v>22.0</v>
      </c>
      <c r="J121" s="11">
        <v>0.0</v>
      </c>
      <c r="K121" s="11">
        <v>0.0</v>
      </c>
      <c r="L121" s="11">
        <v>0.0</v>
      </c>
      <c r="M121" s="8">
        <f t="shared" si="1"/>
        <v>22</v>
      </c>
      <c r="N121" s="4" t="s">
        <v>27</v>
      </c>
      <c r="O121" s="1" t="s">
        <v>33</v>
      </c>
      <c r="P121" s="1" t="s">
        <v>34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" t="s">
        <v>116</v>
      </c>
      <c r="C122" s="1" t="s">
        <v>95</v>
      </c>
      <c r="D122" s="5">
        <v>116487.0</v>
      </c>
      <c r="E122" s="1" t="s">
        <v>106</v>
      </c>
      <c r="F122" s="1" t="s">
        <v>155</v>
      </c>
      <c r="G122" s="5">
        <v>0.0</v>
      </c>
      <c r="H122" s="5">
        <v>0.0</v>
      </c>
      <c r="I122" s="11">
        <v>33.0</v>
      </c>
      <c r="J122" s="11">
        <v>0.0</v>
      </c>
      <c r="K122" s="11">
        <v>0.0</v>
      </c>
      <c r="L122" s="11">
        <v>0.0</v>
      </c>
      <c r="M122" s="8">
        <f t="shared" si="1"/>
        <v>33</v>
      </c>
      <c r="N122" s="4" t="s">
        <v>27</v>
      </c>
      <c r="O122" s="1" t="s">
        <v>33</v>
      </c>
      <c r="P122" s="1" t="s">
        <v>34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" t="s">
        <v>116</v>
      </c>
      <c r="C123" s="1" t="s">
        <v>128</v>
      </c>
      <c r="D123" s="5">
        <v>116496.0</v>
      </c>
      <c r="E123" s="1" t="s">
        <v>129</v>
      </c>
      <c r="F123" s="1" t="s">
        <v>156</v>
      </c>
      <c r="G123" s="5">
        <v>0.0</v>
      </c>
      <c r="H123" s="5">
        <v>0.0</v>
      </c>
      <c r="I123" s="11">
        <v>26.0</v>
      </c>
      <c r="J123" s="11">
        <v>0.0</v>
      </c>
      <c r="K123" s="11">
        <v>0.0</v>
      </c>
      <c r="L123" s="11">
        <v>0.0</v>
      </c>
      <c r="M123" s="8">
        <f t="shared" si="1"/>
        <v>26</v>
      </c>
      <c r="N123" s="4" t="s">
        <v>27</v>
      </c>
      <c r="O123" s="1" t="s">
        <v>40</v>
      </c>
      <c r="P123" s="1" t="s">
        <v>34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" t="s">
        <v>116</v>
      </c>
      <c r="C124" s="1" t="s">
        <v>95</v>
      </c>
      <c r="D124" s="5">
        <v>116487.0</v>
      </c>
      <c r="E124" s="1" t="s">
        <v>106</v>
      </c>
      <c r="F124" s="1" t="s">
        <v>156</v>
      </c>
      <c r="G124" s="5">
        <v>0.0</v>
      </c>
      <c r="H124" s="5">
        <v>0.0</v>
      </c>
      <c r="I124" s="11">
        <v>20.0</v>
      </c>
      <c r="J124" s="11">
        <v>0.0</v>
      </c>
      <c r="K124" s="11">
        <v>0.0</v>
      </c>
      <c r="L124" s="11">
        <v>0.0</v>
      </c>
      <c r="M124" s="8">
        <f t="shared" si="1"/>
        <v>20</v>
      </c>
      <c r="N124" s="4" t="s">
        <v>27</v>
      </c>
      <c r="O124" s="1" t="s">
        <v>40</v>
      </c>
      <c r="P124" s="1" t="s">
        <v>34</v>
      </c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" t="s">
        <v>116</v>
      </c>
      <c r="C125" s="1" t="s">
        <v>95</v>
      </c>
      <c r="D125" s="5">
        <v>116602.0</v>
      </c>
      <c r="E125" s="1" t="s">
        <v>99</v>
      </c>
      <c r="F125" s="1" t="s">
        <v>157</v>
      </c>
      <c r="G125" s="5">
        <v>0.0</v>
      </c>
      <c r="H125" s="5">
        <v>0.0</v>
      </c>
      <c r="I125" s="11">
        <v>31.0</v>
      </c>
      <c r="J125" s="11">
        <v>0.0</v>
      </c>
      <c r="K125" s="11">
        <v>0.0</v>
      </c>
      <c r="L125" s="11">
        <v>0.0</v>
      </c>
      <c r="M125" s="8">
        <f t="shared" si="1"/>
        <v>31</v>
      </c>
      <c r="N125" s="4" t="s">
        <v>27</v>
      </c>
      <c r="O125" s="1" t="s">
        <v>52</v>
      </c>
      <c r="P125" s="1" t="s">
        <v>34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" t="s">
        <v>116</v>
      </c>
      <c r="C126" s="1" t="s">
        <v>95</v>
      </c>
      <c r="D126" s="5">
        <v>116602.0</v>
      </c>
      <c r="E126" s="1" t="s">
        <v>99</v>
      </c>
      <c r="F126" s="1" t="s">
        <v>158</v>
      </c>
      <c r="G126" s="5">
        <v>0.0</v>
      </c>
      <c r="H126" s="5">
        <v>0.0</v>
      </c>
      <c r="I126" s="11">
        <v>0.0</v>
      </c>
      <c r="J126" s="11">
        <v>28.0</v>
      </c>
      <c r="K126" s="11">
        <v>0.0</v>
      </c>
      <c r="L126" s="11">
        <v>0.0</v>
      </c>
      <c r="M126" s="8">
        <f t="shared" si="1"/>
        <v>28</v>
      </c>
      <c r="N126" s="4" t="s">
        <v>27</v>
      </c>
      <c r="O126" s="4" t="s">
        <v>92</v>
      </c>
      <c r="P126" s="1" t="s">
        <v>31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" t="s">
        <v>116</v>
      </c>
      <c r="C127" s="1" t="s">
        <v>95</v>
      </c>
      <c r="D127" s="5">
        <v>116602.0</v>
      </c>
      <c r="E127" s="1" t="s">
        <v>99</v>
      </c>
      <c r="F127" s="1" t="s">
        <v>159</v>
      </c>
      <c r="G127" s="5">
        <v>0.0</v>
      </c>
      <c r="H127" s="5">
        <v>0.0</v>
      </c>
      <c r="I127" s="11">
        <v>0.0</v>
      </c>
      <c r="J127" s="11">
        <v>14.0</v>
      </c>
      <c r="K127" s="11">
        <v>0.0</v>
      </c>
      <c r="L127" s="11">
        <v>0.0</v>
      </c>
      <c r="M127" s="8">
        <f t="shared" si="1"/>
        <v>14</v>
      </c>
      <c r="N127" s="4" t="s">
        <v>27</v>
      </c>
      <c r="O127" s="4" t="s">
        <v>92</v>
      </c>
      <c r="P127" s="1" t="s">
        <v>31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" t="s">
        <v>116</v>
      </c>
      <c r="C128" s="1" t="s">
        <v>95</v>
      </c>
      <c r="D128" s="5">
        <v>116602.0</v>
      </c>
      <c r="E128" s="1" t="s">
        <v>99</v>
      </c>
      <c r="F128" s="1" t="s">
        <v>160</v>
      </c>
      <c r="G128" s="5">
        <v>0.0</v>
      </c>
      <c r="H128" s="5">
        <v>0.0</v>
      </c>
      <c r="I128" s="11">
        <v>0.0</v>
      </c>
      <c r="J128" s="11">
        <v>29.0</v>
      </c>
      <c r="K128" s="11">
        <v>0.0</v>
      </c>
      <c r="L128" s="11">
        <v>0.0</v>
      </c>
      <c r="M128" s="8">
        <f t="shared" si="1"/>
        <v>29</v>
      </c>
      <c r="N128" s="4" t="s">
        <v>27</v>
      </c>
      <c r="O128" s="4" t="s">
        <v>92</v>
      </c>
      <c r="P128" s="1" t="s">
        <v>31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" t="s">
        <v>116</v>
      </c>
      <c r="C129" s="1" t="s">
        <v>95</v>
      </c>
      <c r="D129" s="5">
        <v>116480.0</v>
      </c>
      <c r="E129" s="1" t="s">
        <v>134</v>
      </c>
      <c r="F129" s="1" t="s">
        <v>161</v>
      </c>
      <c r="G129" s="5">
        <v>0.0</v>
      </c>
      <c r="H129" s="5">
        <v>0.0</v>
      </c>
      <c r="I129" s="11">
        <v>0.0</v>
      </c>
      <c r="J129" s="11">
        <v>23.0</v>
      </c>
      <c r="K129" s="11">
        <v>0.0</v>
      </c>
      <c r="L129" s="11">
        <v>0.0</v>
      </c>
      <c r="M129" s="8">
        <f t="shared" si="1"/>
        <v>23</v>
      </c>
      <c r="N129" s="4" t="s">
        <v>27</v>
      </c>
      <c r="O129" s="1" t="s">
        <v>28</v>
      </c>
      <c r="P129" s="1" t="s">
        <v>21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" t="s">
        <v>116</v>
      </c>
      <c r="C130" s="1" t="s">
        <v>95</v>
      </c>
      <c r="D130" s="5">
        <v>116602.0</v>
      </c>
      <c r="E130" s="1" t="s">
        <v>99</v>
      </c>
      <c r="F130" s="1" t="s">
        <v>138</v>
      </c>
      <c r="G130" s="5">
        <v>0.0</v>
      </c>
      <c r="H130" s="5">
        <v>0.0</v>
      </c>
      <c r="I130" s="11">
        <v>0.0</v>
      </c>
      <c r="J130" s="11">
        <v>11.0</v>
      </c>
      <c r="K130" s="11">
        <v>0.0</v>
      </c>
      <c r="L130" s="11">
        <v>0.0</v>
      </c>
      <c r="M130" s="8">
        <f t="shared" si="1"/>
        <v>11</v>
      </c>
      <c r="N130" s="4" t="s">
        <v>27</v>
      </c>
      <c r="O130" s="1" t="s">
        <v>38</v>
      </c>
      <c r="P130" s="1" t="s">
        <v>24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" t="s">
        <v>116</v>
      </c>
      <c r="C131" s="1" t="s">
        <v>95</v>
      </c>
      <c r="D131" s="5">
        <v>116487.0</v>
      </c>
      <c r="E131" s="1" t="s">
        <v>106</v>
      </c>
      <c r="F131" s="1" t="s">
        <v>138</v>
      </c>
      <c r="G131" s="5">
        <v>0.0</v>
      </c>
      <c r="H131" s="5">
        <v>0.0</v>
      </c>
      <c r="I131" s="11">
        <v>0.0</v>
      </c>
      <c r="J131" s="11">
        <v>22.0</v>
      </c>
      <c r="K131" s="11">
        <v>0.0</v>
      </c>
      <c r="L131" s="11">
        <v>0.0</v>
      </c>
      <c r="M131" s="8">
        <f t="shared" si="1"/>
        <v>22</v>
      </c>
      <c r="N131" s="4" t="s">
        <v>27</v>
      </c>
      <c r="O131" s="1" t="s">
        <v>38</v>
      </c>
      <c r="P131" s="1" t="s">
        <v>24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" t="s">
        <v>116</v>
      </c>
      <c r="C132" s="1" t="s">
        <v>101</v>
      </c>
      <c r="D132" s="5">
        <v>117552.0</v>
      </c>
      <c r="E132" s="1" t="s">
        <v>102</v>
      </c>
      <c r="F132" s="1" t="s">
        <v>138</v>
      </c>
      <c r="G132" s="5">
        <v>0.0</v>
      </c>
      <c r="H132" s="5">
        <v>0.0</v>
      </c>
      <c r="I132" s="11">
        <v>0.0</v>
      </c>
      <c r="J132" s="11">
        <v>0.0</v>
      </c>
      <c r="K132" s="11">
        <v>25.0</v>
      </c>
      <c r="L132" s="11">
        <v>0.0</v>
      </c>
      <c r="M132" s="8">
        <f t="shared" si="1"/>
        <v>25</v>
      </c>
      <c r="N132" s="4" t="s">
        <v>27</v>
      </c>
      <c r="O132" s="1" t="s">
        <v>38</v>
      </c>
      <c r="P132" s="1" t="s">
        <v>24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" t="s">
        <v>116</v>
      </c>
      <c r="C133" s="1" t="s">
        <v>16</v>
      </c>
      <c r="D133" s="5">
        <v>104643.0</v>
      </c>
      <c r="E133" s="1" t="s">
        <v>17</v>
      </c>
      <c r="F133" s="1" t="s">
        <v>138</v>
      </c>
      <c r="G133" s="5">
        <v>0.0</v>
      </c>
      <c r="H133" s="5">
        <v>0.0</v>
      </c>
      <c r="I133" s="11">
        <v>0.0</v>
      </c>
      <c r="J133" s="11">
        <v>0.0</v>
      </c>
      <c r="K133" s="11">
        <v>23.0</v>
      </c>
      <c r="L133" s="11">
        <v>0.0</v>
      </c>
      <c r="M133" s="8">
        <f t="shared" si="1"/>
        <v>23</v>
      </c>
      <c r="N133" s="4" t="s">
        <v>27</v>
      </c>
      <c r="O133" s="1" t="s">
        <v>38</v>
      </c>
      <c r="P133" s="1" t="s">
        <v>24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" t="s">
        <v>116</v>
      </c>
      <c r="C134" s="1" t="s">
        <v>95</v>
      </c>
      <c r="D134" s="5">
        <v>116602.0</v>
      </c>
      <c r="E134" s="1" t="s">
        <v>99</v>
      </c>
      <c r="F134" s="1" t="s">
        <v>136</v>
      </c>
      <c r="G134" s="5">
        <v>0.0</v>
      </c>
      <c r="H134" s="5">
        <v>0.0</v>
      </c>
      <c r="I134" s="11">
        <v>0.0</v>
      </c>
      <c r="J134" s="11">
        <v>0.0</v>
      </c>
      <c r="K134" s="11">
        <v>28.0</v>
      </c>
      <c r="L134" s="11">
        <v>0.0</v>
      </c>
      <c r="M134" s="8">
        <f t="shared" si="1"/>
        <v>28</v>
      </c>
      <c r="N134" s="4" t="s">
        <v>27</v>
      </c>
      <c r="O134" s="1" t="s">
        <v>38</v>
      </c>
      <c r="P134" s="1" t="s">
        <v>24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" t="s">
        <v>116</v>
      </c>
      <c r="C135" s="1" t="s">
        <v>101</v>
      </c>
      <c r="D135" s="5">
        <v>116478.0</v>
      </c>
      <c r="E135" s="1" t="s">
        <v>162</v>
      </c>
      <c r="F135" s="1" t="s">
        <v>163</v>
      </c>
      <c r="G135" s="5">
        <v>0.0</v>
      </c>
      <c r="H135" s="5">
        <v>0.0</v>
      </c>
      <c r="I135" s="11">
        <v>0.0</v>
      </c>
      <c r="J135" s="11">
        <v>0.0</v>
      </c>
      <c r="K135" s="11">
        <v>28.0</v>
      </c>
      <c r="L135" s="11">
        <v>0.0</v>
      </c>
      <c r="M135" s="8">
        <f t="shared" si="1"/>
        <v>28</v>
      </c>
      <c r="N135" s="4" t="s">
        <v>27</v>
      </c>
      <c r="O135" s="1" t="s">
        <v>28</v>
      </c>
      <c r="P135" s="1" t="s">
        <v>21</v>
      </c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" t="s">
        <v>116</v>
      </c>
      <c r="C136" s="1" t="s">
        <v>16</v>
      </c>
      <c r="D136" s="5">
        <v>102501.0</v>
      </c>
      <c r="E136" s="1" t="s">
        <v>76</v>
      </c>
      <c r="F136" s="1" t="s">
        <v>164</v>
      </c>
      <c r="G136" s="5">
        <v>0.0</v>
      </c>
      <c r="H136" s="5">
        <v>0.0</v>
      </c>
      <c r="I136" s="11">
        <v>0.0</v>
      </c>
      <c r="J136" s="11">
        <v>0.0</v>
      </c>
      <c r="K136" s="11">
        <v>26.0</v>
      </c>
      <c r="L136" s="11">
        <v>0.0</v>
      </c>
      <c r="M136" s="8">
        <f t="shared" si="1"/>
        <v>26</v>
      </c>
      <c r="N136" s="4" t="s">
        <v>27</v>
      </c>
      <c r="O136" s="1" t="s">
        <v>165</v>
      </c>
      <c r="P136" s="1" t="s">
        <v>24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" t="s">
        <v>116</v>
      </c>
      <c r="C137" s="1" t="s">
        <v>95</v>
      </c>
      <c r="D137" s="5">
        <v>116480.0</v>
      </c>
      <c r="E137" s="1" t="s">
        <v>134</v>
      </c>
      <c r="F137" s="1" t="s">
        <v>140</v>
      </c>
      <c r="G137" s="5">
        <v>0.0</v>
      </c>
      <c r="H137" s="5">
        <v>0.0</v>
      </c>
      <c r="I137" s="11">
        <v>0.0</v>
      </c>
      <c r="J137" s="11">
        <v>0.0</v>
      </c>
      <c r="K137" s="11">
        <v>21.0</v>
      </c>
      <c r="L137" s="11">
        <v>0.0</v>
      </c>
      <c r="M137" s="8">
        <f t="shared" si="1"/>
        <v>21</v>
      </c>
      <c r="N137" s="4" t="s">
        <v>27</v>
      </c>
      <c r="O137" s="6" t="s">
        <v>45</v>
      </c>
      <c r="P137" s="1" t="s">
        <v>31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" t="s">
        <v>116</v>
      </c>
      <c r="C138" s="1" t="s">
        <v>95</v>
      </c>
      <c r="D138" s="5">
        <v>116501.0</v>
      </c>
      <c r="E138" s="1" t="s">
        <v>141</v>
      </c>
      <c r="F138" s="1" t="s">
        <v>166</v>
      </c>
      <c r="G138" s="5">
        <v>0.0</v>
      </c>
      <c r="H138" s="5">
        <v>0.0</v>
      </c>
      <c r="I138" s="11">
        <v>0.0</v>
      </c>
      <c r="J138" s="11">
        <v>0.0</v>
      </c>
      <c r="K138" s="11">
        <v>23.0</v>
      </c>
      <c r="L138" s="11">
        <v>0.0</v>
      </c>
      <c r="M138" s="8">
        <f t="shared" si="1"/>
        <v>23</v>
      </c>
      <c r="N138" s="4" t="s">
        <v>27</v>
      </c>
      <c r="O138" s="1" t="s">
        <v>167</v>
      </c>
      <c r="P138" s="1" t="s">
        <v>21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" t="s">
        <v>116</v>
      </c>
      <c r="C139" s="1" t="s">
        <v>128</v>
      </c>
      <c r="D139" s="5">
        <v>116496.0</v>
      </c>
      <c r="E139" s="1" t="s">
        <v>129</v>
      </c>
      <c r="F139" s="1" t="s">
        <v>168</v>
      </c>
      <c r="G139" s="5">
        <v>0.0</v>
      </c>
      <c r="H139" s="5">
        <v>0.0</v>
      </c>
      <c r="I139" s="11">
        <v>0.0</v>
      </c>
      <c r="J139" s="11">
        <v>0.0</v>
      </c>
      <c r="K139" s="11">
        <v>25.0</v>
      </c>
      <c r="L139" s="11">
        <v>0.0</v>
      </c>
      <c r="M139" s="8">
        <f t="shared" si="1"/>
        <v>25</v>
      </c>
      <c r="N139" s="4" t="s">
        <v>27</v>
      </c>
      <c r="O139" s="1" t="s">
        <v>30</v>
      </c>
      <c r="P139" s="1" t="s">
        <v>31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" t="s">
        <v>116</v>
      </c>
      <c r="C140" s="1" t="s">
        <v>95</v>
      </c>
      <c r="D140" s="5">
        <v>116602.0</v>
      </c>
      <c r="E140" s="1" t="s">
        <v>99</v>
      </c>
      <c r="F140" s="1" t="s">
        <v>144</v>
      </c>
      <c r="G140" s="5">
        <v>0.0</v>
      </c>
      <c r="H140" s="5">
        <v>0.0</v>
      </c>
      <c r="I140" s="11">
        <v>0.0</v>
      </c>
      <c r="J140" s="11">
        <v>0.0</v>
      </c>
      <c r="K140" s="11">
        <v>24.0</v>
      </c>
      <c r="L140" s="11">
        <v>0.0</v>
      </c>
      <c r="M140" s="8">
        <f t="shared" si="1"/>
        <v>24</v>
      </c>
      <c r="N140" s="4" t="s">
        <v>27</v>
      </c>
      <c r="O140" s="1" t="s">
        <v>30</v>
      </c>
      <c r="P140" s="1" t="s">
        <v>31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" t="s">
        <v>116</v>
      </c>
      <c r="C141" s="1" t="s">
        <v>95</v>
      </c>
      <c r="D141" s="5">
        <v>116487.0</v>
      </c>
      <c r="E141" s="1" t="s">
        <v>106</v>
      </c>
      <c r="F141" s="1" t="s">
        <v>144</v>
      </c>
      <c r="G141" s="5">
        <v>0.0</v>
      </c>
      <c r="H141" s="5">
        <v>0.0</v>
      </c>
      <c r="I141" s="11">
        <v>0.0</v>
      </c>
      <c r="J141" s="11">
        <v>0.0</v>
      </c>
      <c r="K141" s="11">
        <v>28.0</v>
      </c>
      <c r="L141" s="11">
        <v>0.0</v>
      </c>
      <c r="M141" s="8">
        <f t="shared" si="1"/>
        <v>28</v>
      </c>
      <c r="N141" s="4" t="s">
        <v>27</v>
      </c>
      <c r="O141" s="1" t="s">
        <v>30</v>
      </c>
      <c r="P141" s="1" t="s">
        <v>31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" t="s">
        <v>116</v>
      </c>
      <c r="C142" s="1" t="s">
        <v>95</v>
      </c>
      <c r="D142" s="5">
        <v>116487.0</v>
      </c>
      <c r="E142" s="1" t="s">
        <v>106</v>
      </c>
      <c r="F142" s="1" t="s">
        <v>169</v>
      </c>
      <c r="G142" s="5">
        <v>0.0</v>
      </c>
      <c r="H142" s="5">
        <v>0.0</v>
      </c>
      <c r="I142" s="11">
        <v>0.0</v>
      </c>
      <c r="J142" s="11">
        <v>0.0</v>
      </c>
      <c r="K142" s="11">
        <v>21.0</v>
      </c>
      <c r="L142" s="11">
        <v>0.0</v>
      </c>
      <c r="M142" s="8">
        <f t="shared" si="1"/>
        <v>21</v>
      </c>
      <c r="N142" s="4" t="s">
        <v>27</v>
      </c>
      <c r="O142" s="1" t="s">
        <v>170</v>
      </c>
      <c r="P142" s="1" t="s">
        <v>24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" t="s">
        <v>116</v>
      </c>
      <c r="C143" s="1" t="s">
        <v>101</v>
      </c>
      <c r="D143" s="5">
        <v>117552.0</v>
      </c>
      <c r="E143" s="1" t="s">
        <v>102</v>
      </c>
      <c r="F143" s="1" t="s">
        <v>130</v>
      </c>
      <c r="G143" s="5">
        <v>0.0</v>
      </c>
      <c r="H143" s="5">
        <v>0.0</v>
      </c>
      <c r="I143" s="11">
        <v>0.0</v>
      </c>
      <c r="J143" s="11">
        <v>0.0</v>
      </c>
      <c r="K143" s="11">
        <v>32.0</v>
      </c>
      <c r="L143" s="11">
        <v>0.0</v>
      </c>
      <c r="M143" s="8">
        <f t="shared" si="1"/>
        <v>32</v>
      </c>
      <c r="N143" s="4" t="s">
        <v>27</v>
      </c>
      <c r="O143" s="1" t="s">
        <v>118</v>
      </c>
      <c r="P143" s="1" t="s">
        <v>34</v>
      </c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" t="s">
        <v>116</v>
      </c>
      <c r="C144" s="1" t="s">
        <v>101</v>
      </c>
      <c r="D144" s="5">
        <v>117552.0</v>
      </c>
      <c r="E144" s="1" t="s">
        <v>102</v>
      </c>
      <c r="F144" s="1" t="s">
        <v>130</v>
      </c>
      <c r="G144" s="5">
        <v>0.0</v>
      </c>
      <c r="H144" s="5">
        <v>0.0</v>
      </c>
      <c r="I144" s="11">
        <v>0.0</v>
      </c>
      <c r="J144" s="11">
        <v>0.0</v>
      </c>
      <c r="K144" s="11">
        <v>25.0</v>
      </c>
      <c r="L144" s="11">
        <v>0.0</v>
      </c>
      <c r="M144" s="8">
        <f t="shared" si="1"/>
        <v>25</v>
      </c>
      <c r="N144" s="4" t="s">
        <v>27</v>
      </c>
      <c r="O144" s="1" t="s">
        <v>118</v>
      </c>
      <c r="P144" s="1" t="s">
        <v>34</v>
      </c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" t="s">
        <v>116</v>
      </c>
      <c r="C145" s="1" t="s">
        <v>101</v>
      </c>
      <c r="D145" s="5">
        <v>117552.0</v>
      </c>
      <c r="E145" s="1" t="s">
        <v>102</v>
      </c>
      <c r="F145" s="1" t="s">
        <v>130</v>
      </c>
      <c r="G145" s="5">
        <v>0.0</v>
      </c>
      <c r="H145" s="5">
        <v>0.0</v>
      </c>
      <c r="I145" s="11">
        <v>0.0</v>
      </c>
      <c r="J145" s="11">
        <v>0.0</v>
      </c>
      <c r="K145" s="11">
        <v>26.0</v>
      </c>
      <c r="L145" s="11">
        <v>0.0</v>
      </c>
      <c r="M145" s="8">
        <f t="shared" si="1"/>
        <v>26</v>
      </c>
      <c r="N145" s="4" t="s">
        <v>27</v>
      </c>
      <c r="O145" s="1" t="s">
        <v>118</v>
      </c>
      <c r="P145" s="1" t="s">
        <v>34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" t="s">
        <v>116</v>
      </c>
      <c r="C146" s="1" t="s">
        <v>101</v>
      </c>
      <c r="D146" s="5">
        <v>117552.0</v>
      </c>
      <c r="E146" s="1" t="s">
        <v>102</v>
      </c>
      <c r="F146" s="1" t="s">
        <v>132</v>
      </c>
      <c r="G146" s="5">
        <v>0.0</v>
      </c>
      <c r="H146" s="5">
        <v>0.0</v>
      </c>
      <c r="I146" s="11">
        <v>0.0</v>
      </c>
      <c r="J146" s="11">
        <v>0.0</v>
      </c>
      <c r="K146" s="11">
        <v>28.0</v>
      </c>
      <c r="L146" s="11">
        <v>0.0</v>
      </c>
      <c r="M146" s="8">
        <f t="shared" si="1"/>
        <v>28</v>
      </c>
      <c r="N146" s="4" t="s">
        <v>27</v>
      </c>
      <c r="O146" s="1" t="s">
        <v>118</v>
      </c>
      <c r="P146" s="1" t="s">
        <v>34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" t="s">
        <v>116</v>
      </c>
      <c r="C147" s="1" t="s">
        <v>95</v>
      </c>
      <c r="D147" s="5">
        <v>116487.0</v>
      </c>
      <c r="E147" s="1" t="s">
        <v>106</v>
      </c>
      <c r="F147" s="1" t="s">
        <v>133</v>
      </c>
      <c r="G147" s="5">
        <v>0.0</v>
      </c>
      <c r="H147" s="5">
        <v>0.0</v>
      </c>
      <c r="I147" s="11">
        <v>0.0</v>
      </c>
      <c r="J147" s="11">
        <v>0.0</v>
      </c>
      <c r="K147" s="11">
        <v>49.0</v>
      </c>
      <c r="L147" s="11">
        <v>0.0</v>
      </c>
      <c r="M147" s="8">
        <f t="shared" si="1"/>
        <v>49</v>
      </c>
      <c r="N147" s="4" t="s">
        <v>27</v>
      </c>
      <c r="O147" s="1" t="s">
        <v>118</v>
      </c>
      <c r="P147" s="1" t="s">
        <v>34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" t="s">
        <v>116</v>
      </c>
      <c r="C148" s="1" t="s">
        <v>95</v>
      </c>
      <c r="D148" s="5">
        <v>116487.0</v>
      </c>
      <c r="E148" s="1" t="s">
        <v>106</v>
      </c>
      <c r="F148" s="1" t="s">
        <v>131</v>
      </c>
      <c r="G148" s="5">
        <v>0.0</v>
      </c>
      <c r="H148" s="5">
        <v>0.0</v>
      </c>
      <c r="I148" s="11">
        <v>0.0</v>
      </c>
      <c r="J148" s="11">
        <v>0.0</v>
      </c>
      <c r="K148" s="11">
        <v>36.0</v>
      </c>
      <c r="L148" s="11">
        <v>0.0</v>
      </c>
      <c r="M148" s="8">
        <f t="shared" si="1"/>
        <v>36</v>
      </c>
      <c r="N148" s="4" t="s">
        <v>27</v>
      </c>
      <c r="O148" s="1" t="s">
        <v>118</v>
      </c>
      <c r="P148" s="1" t="s">
        <v>34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" t="s">
        <v>116</v>
      </c>
      <c r="C149" s="1" t="s">
        <v>101</v>
      </c>
      <c r="D149" s="5">
        <v>117552.0</v>
      </c>
      <c r="E149" s="1" t="s">
        <v>102</v>
      </c>
      <c r="F149" s="1" t="s">
        <v>171</v>
      </c>
      <c r="G149" s="5">
        <v>0.0</v>
      </c>
      <c r="H149" s="5">
        <v>0.0</v>
      </c>
      <c r="I149" s="11">
        <v>0.0</v>
      </c>
      <c r="J149" s="11">
        <v>0.0</v>
      </c>
      <c r="K149" s="11">
        <v>36.0</v>
      </c>
      <c r="L149" s="11">
        <v>0.0</v>
      </c>
      <c r="M149" s="8">
        <f t="shared" si="1"/>
        <v>36</v>
      </c>
      <c r="N149" s="4" t="s">
        <v>27</v>
      </c>
      <c r="O149" s="1" t="s">
        <v>118</v>
      </c>
      <c r="P149" s="1" t="s">
        <v>34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" t="s">
        <v>116</v>
      </c>
      <c r="C150" s="1" t="s">
        <v>101</v>
      </c>
      <c r="D150" s="5">
        <v>116478.0</v>
      </c>
      <c r="E150" s="1" t="s">
        <v>162</v>
      </c>
      <c r="F150" s="1" t="s">
        <v>147</v>
      </c>
      <c r="G150" s="5">
        <v>0.0</v>
      </c>
      <c r="H150" s="5">
        <v>0.0</v>
      </c>
      <c r="I150" s="11">
        <v>0.0</v>
      </c>
      <c r="J150" s="11">
        <v>0.0</v>
      </c>
      <c r="K150" s="11">
        <v>0.0</v>
      </c>
      <c r="L150" s="11">
        <v>24.0</v>
      </c>
      <c r="M150" s="8">
        <f t="shared" si="1"/>
        <v>24</v>
      </c>
      <c r="N150" s="4" t="s">
        <v>27</v>
      </c>
      <c r="O150" s="1" t="s">
        <v>118</v>
      </c>
      <c r="P150" s="1" t="s">
        <v>34</v>
      </c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" t="s">
        <v>116</v>
      </c>
      <c r="C151" s="1" t="s">
        <v>95</v>
      </c>
      <c r="D151" s="5">
        <v>117649.0</v>
      </c>
      <c r="E151" s="1" t="s">
        <v>104</v>
      </c>
      <c r="F151" s="1" t="s">
        <v>172</v>
      </c>
      <c r="G151" s="5">
        <v>0.0</v>
      </c>
      <c r="H151" s="5">
        <v>0.0</v>
      </c>
      <c r="I151" s="11">
        <v>0.0</v>
      </c>
      <c r="J151" s="11">
        <v>0.0</v>
      </c>
      <c r="K151" s="11">
        <v>25.0</v>
      </c>
      <c r="L151" s="11">
        <v>0.0</v>
      </c>
      <c r="M151" s="8">
        <f t="shared" si="1"/>
        <v>25</v>
      </c>
      <c r="N151" s="4" t="s">
        <v>27</v>
      </c>
      <c r="O151" s="1" t="s">
        <v>36</v>
      </c>
      <c r="P151" s="1" t="s">
        <v>31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" t="s">
        <v>116</v>
      </c>
      <c r="C152" s="1" t="s">
        <v>95</v>
      </c>
      <c r="D152" s="5">
        <v>117649.0</v>
      </c>
      <c r="E152" s="1" t="s">
        <v>104</v>
      </c>
      <c r="F152" s="1" t="s">
        <v>172</v>
      </c>
      <c r="G152" s="5">
        <v>0.0</v>
      </c>
      <c r="H152" s="5">
        <v>0.0</v>
      </c>
      <c r="I152" s="11">
        <v>0.0</v>
      </c>
      <c r="J152" s="11">
        <v>0.0</v>
      </c>
      <c r="K152" s="11">
        <v>26.0</v>
      </c>
      <c r="L152" s="11">
        <v>0.0</v>
      </c>
      <c r="M152" s="8">
        <f t="shared" si="1"/>
        <v>26</v>
      </c>
      <c r="N152" s="4" t="s">
        <v>27</v>
      </c>
      <c r="O152" s="1" t="s">
        <v>36</v>
      </c>
      <c r="P152" s="1" t="s">
        <v>31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" t="s">
        <v>116</v>
      </c>
      <c r="C153" s="1" t="s">
        <v>95</v>
      </c>
      <c r="D153" s="5">
        <v>117649.0</v>
      </c>
      <c r="E153" s="1" t="s">
        <v>104</v>
      </c>
      <c r="F153" s="1" t="s">
        <v>172</v>
      </c>
      <c r="G153" s="5">
        <v>0.0</v>
      </c>
      <c r="H153" s="5">
        <v>0.0</v>
      </c>
      <c r="I153" s="11">
        <v>0.0</v>
      </c>
      <c r="J153" s="11">
        <v>0.0</v>
      </c>
      <c r="K153" s="11">
        <v>26.0</v>
      </c>
      <c r="L153" s="11">
        <v>0.0</v>
      </c>
      <c r="M153" s="8">
        <f t="shared" si="1"/>
        <v>26</v>
      </c>
      <c r="N153" s="4" t="s">
        <v>27</v>
      </c>
      <c r="O153" s="1" t="s">
        <v>36</v>
      </c>
      <c r="P153" s="1" t="s">
        <v>31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" t="s">
        <v>116</v>
      </c>
      <c r="C154" s="1" t="s">
        <v>95</v>
      </c>
      <c r="D154" s="5">
        <v>116487.0</v>
      </c>
      <c r="E154" s="1" t="s">
        <v>106</v>
      </c>
      <c r="F154" s="1" t="s">
        <v>173</v>
      </c>
      <c r="G154" s="5">
        <v>0.0</v>
      </c>
      <c r="H154" s="5">
        <v>0.0</v>
      </c>
      <c r="I154" s="11">
        <v>0.0</v>
      </c>
      <c r="J154" s="11">
        <v>0.0</v>
      </c>
      <c r="K154" s="11">
        <v>32.0</v>
      </c>
      <c r="L154" s="11">
        <v>0.0</v>
      </c>
      <c r="M154" s="8">
        <f t="shared" si="1"/>
        <v>32</v>
      </c>
      <c r="N154" s="4" t="s">
        <v>27</v>
      </c>
      <c r="O154" s="1" t="s">
        <v>154</v>
      </c>
      <c r="P154" s="1" t="s">
        <v>34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" t="s">
        <v>116</v>
      </c>
      <c r="C155" s="1" t="s">
        <v>95</v>
      </c>
      <c r="D155" s="5">
        <v>116503.0</v>
      </c>
      <c r="E155" s="1" t="s">
        <v>135</v>
      </c>
      <c r="F155" s="1" t="s">
        <v>174</v>
      </c>
      <c r="G155" s="5">
        <v>0.0</v>
      </c>
      <c r="H155" s="5">
        <v>0.0</v>
      </c>
      <c r="I155" s="11">
        <v>0.0</v>
      </c>
      <c r="J155" s="11">
        <v>0.0</v>
      </c>
      <c r="K155" s="11">
        <v>34.0</v>
      </c>
      <c r="L155" s="11">
        <v>0.0</v>
      </c>
      <c r="M155" s="8">
        <f t="shared" si="1"/>
        <v>34</v>
      </c>
      <c r="N155" s="4" t="s">
        <v>27</v>
      </c>
      <c r="O155" s="1" t="s">
        <v>154</v>
      </c>
      <c r="P155" s="1" t="s">
        <v>34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" t="s">
        <v>116</v>
      </c>
      <c r="C156" s="1" t="s">
        <v>16</v>
      </c>
      <c r="D156" s="5">
        <v>104643.0</v>
      </c>
      <c r="E156" s="1" t="s">
        <v>17</v>
      </c>
      <c r="F156" s="1" t="s">
        <v>175</v>
      </c>
      <c r="G156" s="5">
        <v>0.0</v>
      </c>
      <c r="H156" s="5">
        <v>0.0</v>
      </c>
      <c r="I156" s="11">
        <v>0.0</v>
      </c>
      <c r="J156" s="11">
        <v>0.0</v>
      </c>
      <c r="K156" s="11">
        <v>36.0</v>
      </c>
      <c r="L156" s="11">
        <v>0.0</v>
      </c>
      <c r="M156" s="8">
        <f t="shared" si="1"/>
        <v>36</v>
      </c>
      <c r="N156" s="4" t="s">
        <v>27</v>
      </c>
      <c r="O156" s="1" t="s">
        <v>176</v>
      </c>
      <c r="P156" s="1" t="s">
        <v>21</v>
      </c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" t="s">
        <v>116</v>
      </c>
      <c r="C157" s="1" t="s">
        <v>16</v>
      </c>
      <c r="D157" s="5">
        <v>104643.0</v>
      </c>
      <c r="E157" s="1" t="s">
        <v>17</v>
      </c>
      <c r="F157" s="1" t="s">
        <v>177</v>
      </c>
      <c r="G157" s="5">
        <v>0.0</v>
      </c>
      <c r="H157" s="5">
        <v>0.0</v>
      </c>
      <c r="I157" s="11">
        <v>0.0</v>
      </c>
      <c r="J157" s="11">
        <v>0.0</v>
      </c>
      <c r="K157" s="11">
        <v>25.0</v>
      </c>
      <c r="L157" s="11">
        <v>0.0</v>
      </c>
      <c r="M157" s="8">
        <f t="shared" si="1"/>
        <v>25</v>
      </c>
      <c r="N157" s="4" t="s">
        <v>27</v>
      </c>
      <c r="O157" s="1" t="s">
        <v>178</v>
      </c>
      <c r="P157" s="1" t="s">
        <v>34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" t="s">
        <v>116</v>
      </c>
      <c r="C158" s="1" t="s">
        <v>16</v>
      </c>
      <c r="D158" s="5">
        <v>104643.0</v>
      </c>
      <c r="E158" s="1" t="s">
        <v>17</v>
      </c>
      <c r="F158" s="1" t="s">
        <v>179</v>
      </c>
      <c r="G158" s="5">
        <v>0.0</v>
      </c>
      <c r="H158" s="5">
        <v>0.0</v>
      </c>
      <c r="I158" s="11">
        <v>0.0</v>
      </c>
      <c r="J158" s="11">
        <v>0.0</v>
      </c>
      <c r="K158" s="11">
        <v>0.0</v>
      </c>
      <c r="L158" s="11">
        <v>31.0</v>
      </c>
      <c r="M158" s="8">
        <f t="shared" si="1"/>
        <v>31</v>
      </c>
      <c r="N158" s="1" t="s">
        <v>180</v>
      </c>
      <c r="O158" s="1" t="s">
        <v>181</v>
      </c>
      <c r="P158" s="1" t="s">
        <v>182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" t="s">
        <v>116</v>
      </c>
      <c r="C159" s="1" t="s">
        <v>101</v>
      </c>
      <c r="D159" s="5">
        <v>116478.0</v>
      </c>
      <c r="E159" s="1" t="s">
        <v>162</v>
      </c>
      <c r="F159" s="1" t="s">
        <v>179</v>
      </c>
      <c r="G159" s="5">
        <v>0.0</v>
      </c>
      <c r="H159" s="5">
        <v>0.0</v>
      </c>
      <c r="I159" s="11">
        <v>0.0</v>
      </c>
      <c r="J159" s="11">
        <v>0.0</v>
      </c>
      <c r="K159" s="11">
        <v>0.0</v>
      </c>
      <c r="L159" s="11">
        <v>19.0</v>
      </c>
      <c r="M159" s="8">
        <f t="shared" si="1"/>
        <v>19</v>
      </c>
      <c r="N159" s="1" t="s">
        <v>180</v>
      </c>
      <c r="O159" s="1" t="s">
        <v>181</v>
      </c>
      <c r="P159" s="1" t="s">
        <v>182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" t="s">
        <v>116</v>
      </c>
      <c r="C160" s="1" t="s">
        <v>16</v>
      </c>
      <c r="D160" s="5">
        <v>54797.0</v>
      </c>
      <c r="E160" s="1" t="s">
        <v>183</v>
      </c>
      <c r="F160" s="1" t="s">
        <v>145</v>
      </c>
      <c r="G160" s="5">
        <v>0.0</v>
      </c>
      <c r="H160" s="5">
        <v>0.0</v>
      </c>
      <c r="I160" s="11">
        <v>0.0</v>
      </c>
      <c r="J160" s="11">
        <v>0.0</v>
      </c>
      <c r="K160" s="11">
        <v>25.0</v>
      </c>
      <c r="L160" s="11">
        <v>0.0</v>
      </c>
      <c r="M160" s="8">
        <f t="shared" si="1"/>
        <v>25</v>
      </c>
      <c r="N160" s="4" t="s">
        <v>27</v>
      </c>
      <c r="O160" s="1" t="s">
        <v>146</v>
      </c>
      <c r="P160" s="1" t="s">
        <v>31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" t="s">
        <v>116</v>
      </c>
      <c r="C161" s="1" t="s">
        <v>128</v>
      </c>
      <c r="D161" s="5">
        <v>116496.0</v>
      </c>
      <c r="E161" s="1" t="s">
        <v>129</v>
      </c>
      <c r="F161" s="1" t="s">
        <v>155</v>
      </c>
      <c r="G161" s="5">
        <v>0.0</v>
      </c>
      <c r="H161" s="5">
        <v>0.0</v>
      </c>
      <c r="I161" s="11">
        <v>0.0</v>
      </c>
      <c r="J161" s="11">
        <v>0.0</v>
      </c>
      <c r="K161" s="11">
        <v>41.0</v>
      </c>
      <c r="L161" s="11">
        <v>0.0</v>
      </c>
      <c r="M161" s="8">
        <f t="shared" si="1"/>
        <v>41</v>
      </c>
      <c r="N161" s="4" t="s">
        <v>27</v>
      </c>
      <c r="O161" s="1" t="s">
        <v>33</v>
      </c>
      <c r="P161" s="1" t="s">
        <v>34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" t="s">
        <v>116</v>
      </c>
      <c r="C162" s="1" t="s">
        <v>95</v>
      </c>
      <c r="D162" s="5">
        <v>116602.0</v>
      </c>
      <c r="E162" s="1" t="s">
        <v>99</v>
      </c>
      <c r="F162" s="1" t="s">
        <v>147</v>
      </c>
      <c r="G162" s="5">
        <v>0.0</v>
      </c>
      <c r="H162" s="5">
        <v>0.0</v>
      </c>
      <c r="I162" s="11">
        <v>0.0</v>
      </c>
      <c r="J162" s="11">
        <v>0.0</v>
      </c>
      <c r="K162" s="11">
        <v>30.0</v>
      </c>
      <c r="L162" s="11">
        <v>0.0</v>
      </c>
      <c r="M162" s="8">
        <f t="shared" si="1"/>
        <v>30</v>
      </c>
      <c r="N162" s="4" t="s">
        <v>27</v>
      </c>
      <c r="O162" s="1" t="s">
        <v>148</v>
      </c>
      <c r="P162" s="1" t="s">
        <v>24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" t="s">
        <v>116</v>
      </c>
      <c r="C163" s="1" t="s">
        <v>95</v>
      </c>
      <c r="D163" s="5">
        <v>116481.0</v>
      </c>
      <c r="E163" s="1" t="s">
        <v>184</v>
      </c>
      <c r="F163" s="1" t="s">
        <v>185</v>
      </c>
      <c r="G163" s="5">
        <v>0.0</v>
      </c>
      <c r="H163" s="5">
        <v>0.0</v>
      </c>
      <c r="I163" s="11">
        <v>0.0</v>
      </c>
      <c r="J163" s="11">
        <v>0.0</v>
      </c>
      <c r="K163" s="11">
        <v>26.0</v>
      </c>
      <c r="L163" s="11">
        <v>0.0</v>
      </c>
      <c r="M163" s="8">
        <f t="shared" si="1"/>
        <v>26</v>
      </c>
      <c r="N163" s="4" t="s">
        <v>27</v>
      </c>
      <c r="O163" s="1" t="s">
        <v>148</v>
      </c>
      <c r="P163" s="1" t="s">
        <v>24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" t="s">
        <v>116</v>
      </c>
      <c r="C164" s="1" t="s">
        <v>128</v>
      </c>
      <c r="D164" s="5">
        <v>116496.0</v>
      </c>
      <c r="E164" s="1" t="s">
        <v>129</v>
      </c>
      <c r="F164" s="1" t="s">
        <v>142</v>
      </c>
      <c r="G164" s="5">
        <v>0.0</v>
      </c>
      <c r="H164" s="5">
        <v>0.0</v>
      </c>
      <c r="I164" s="11">
        <v>0.0</v>
      </c>
      <c r="J164" s="11">
        <v>0.0</v>
      </c>
      <c r="K164" s="11">
        <v>19.0</v>
      </c>
      <c r="L164" s="11">
        <v>0.0</v>
      </c>
      <c r="M164" s="8">
        <f t="shared" si="1"/>
        <v>19</v>
      </c>
      <c r="N164" s="4" t="s">
        <v>27</v>
      </c>
      <c r="O164" s="6" t="s">
        <v>45</v>
      </c>
      <c r="P164" s="1" t="s">
        <v>31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" t="s">
        <v>116</v>
      </c>
      <c r="C165" s="1" t="s">
        <v>95</v>
      </c>
      <c r="D165" s="5">
        <v>116481.0</v>
      </c>
      <c r="E165" s="1" t="s">
        <v>184</v>
      </c>
      <c r="F165" s="1" t="s">
        <v>142</v>
      </c>
      <c r="G165" s="5">
        <v>0.0</v>
      </c>
      <c r="H165" s="5">
        <v>0.0</v>
      </c>
      <c r="I165" s="11">
        <v>0.0</v>
      </c>
      <c r="J165" s="11">
        <v>0.0</v>
      </c>
      <c r="K165" s="11">
        <v>14.0</v>
      </c>
      <c r="L165" s="11">
        <v>0.0</v>
      </c>
      <c r="M165" s="8">
        <f t="shared" si="1"/>
        <v>14</v>
      </c>
      <c r="N165" s="4" t="s">
        <v>27</v>
      </c>
      <c r="O165" s="6" t="s">
        <v>45</v>
      </c>
      <c r="P165" s="1" t="s">
        <v>31</v>
      </c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" t="s">
        <v>116</v>
      </c>
      <c r="C166" s="1" t="s">
        <v>95</v>
      </c>
      <c r="D166" s="5">
        <v>116503.0</v>
      </c>
      <c r="E166" s="1" t="s">
        <v>135</v>
      </c>
      <c r="F166" s="1" t="s">
        <v>152</v>
      </c>
      <c r="G166" s="5">
        <v>0.0</v>
      </c>
      <c r="H166" s="5">
        <v>0.0</v>
      </c>
      <c r="I166" s="11">
        <v>0.0</v>
      </c>
      <c r="J166" s="11">
        <v>0.0</v>
      </c>
      <c r="K166" s="11">
        <v>24.0</v>
      </c>
      <c r="L166" s="11">
        <v>0.0</v>
      </c>
      <c r="M166" s="8">
        <f t="shared" si="1"/>
        <v>24</v>
      </c>
      <c r="N166" s="4" t="s">
        <v>27</v>
      </c>
      <c r="O166" s="1" t="s">
        <v>127</v>
      </c>
      <c r="P166" s="1" t="s">
        <v>21</v>
      </c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" t="s">
        <v>116</v>
      </c>
      <c r="C167" s="1" t="s">
        <v>95</v>
      </c>
      <c r="D167" s="5">
        <v>116487.0</v>
      </c>
      <c r="E167" s="1" t="s">
        <v>106</v>
      </c>
      <c r="F167" s="1" t="s">
        <v>151</v>
      </c>
      <c r="G167" s="5">
        <v>0.0</v>
      </c>
      <c r="H167" s="5">
        <v>0.0</v>
      </c>
      <c r="I167" s="11">
        <v>0.0</v>
      </c>
      <c r="J167" s="11">
        <v>0.0</v>
      </c>
      <c r="K167" s="11">
        <v>21.0</v>
      </c>
      <c r="L167" s="11">
        <v>0.0</v>
      </c>
      <c r="M167" s="8">
        <f t="shared" si="1"/>
        <v>21</v>
      </c>
      <c r="N167" s="4" t="s">
        <v>27</v>
      </c>
      <c r="O167" s="1" t="s">
        <v>127</v>
      </c>
      <c r="P167" s="1" t="s">
        <v>21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" t="s">
        <v>116</v>
      </c>
      <c r="C168" s="1" t="s">
        <v>101</v>
      </c>
      <c r="D168" s="5">
        <v>116478.0</v>
      </c>
      <c r="E168" s="1" t="s">
        <v>162</v>
      </c>
      <c r="F168" s="1" t="s">
        <v>186</v>
      </c>
      <c r="G168" s="5">
        <v>0.0</v>
      </c>
      <c r="H168" s="5">
        <v>0.0</v>
      </c>
      <c r="I168" s="11">
        <v>0.0</v>
      </c>
      <c r="J168" s="11">
        <v>0.0</v>
      </c>
      <c r="K168" s="11">
        <v>0.0</v>
      </c>
      <c r="L168" s="11">
        <v>28.0</v>
      </c>
      <c r="M168" s="8">
        <f t="shared" si="1"/>
        <v>28</v>
      </c>
      <c r="N168" s="4" t="s">
        <v>27</v>
      </c>
      <c r="O168" s="1" t="s">
        <v>127</v>
      </c>
      <c r="P168" s="1" t="s">
        <v>21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" t="s">
        <v>116</v>
      </c>
      <c r="C169" s="1" t="s">
        <v>95</v>
      </c>
      <c r="D169" s="5">
        <v>116601.0</v>
      </c>
      <c r="E169" s="1" t="s">
        <v>187</v>
      </c>
      <c r="F169" s="1" t="s">
        <v>188</v>
      </c>
      <c r="G169" s="5">
        <v>0.0</v>
      </c>
      <c r="H169" s="5">
        <v>0.0</v>
      </c>
      <c r="I169" s="11">
        <v>0.0</v>
      </c>
      <c r="J169" s="11">
        <v>0.0</v>
      </c>
      <c r="K169" s="11">
        <v>20.0</v>
      </c>
      <c r="L169" s="11">
        <v>0.0</v>
      </c>
      <c r="M169" s="8">
        <f t="shared" si="1"/>
        <v>20</v>
      </c>
      <c r="N169" s="4" t="s">
        <v>27</v>
      </c>
      <c r="O169" s="1" t="s">
        <v>75</v>
      </c>
      <c r="P169" s="1" t="s">
        <v>21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" t="s">
        <v>116</v>
      </c>
      <c r="C170" s="1" t="s">
        <v>95</v>
      </c>
      <c r="D170" s="5">
        <v>116503.0</v>
      </c>
      <c r="E170" s="1" t="s">
        <v>135</v>
      </c>
      <c r="F170" s="1" t="s">
        <v>149</v>
      </c>
      <c r="G170" s="5">
        <v>0.0</v>
      </c>
      <c r="H170" s="5">
        <v>0.0</v>
      </c>
      <c r="I170" s="11">
        <v>0.0</v>
      </c>
      <c r="J170" s="11">
        <v>0.0</v>
      </c>
      <c r="K170" s="11">
        <v>24.0</v>
      </c>
      <c r="L170" s="11">
        <v>0.0</v>
      </c>
      <c r="M170" s="8">
        <f t="shared" si="1"/>
        <v>24</v>
      </c>
      <c r="N170" s="4" t="s">
        <v>27</v>
      </c>
      <c r="O170" s="1" t="s">
        <v>150</v>
      </c>
      <c r="P170" s="1" t="s">
        <v>24</v>
      </c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" t="s">
        <v>116</v>
      </c>
      <c r="C171" s="1" t="s">
        <v>95</v>
      </c>
      <c r="D171" s="5">
        <v>116503.0</v>
      </c>
      <c r="E171" s="1" t="s">
        <v>135</v>
      </c>
      <c r="F171" s="1" t="s">
        <v>149</v>
      </c>
      <c r="G171" s="5">
        <v>0.0</v>
      </c>
      <c r="H171" s="5">
        <v>0.0</v>
      </c>
      <c r="I171" s="11">
        <v>0.0</v>
      </c>
      <c r="J171" s="11">
        <v>0.0</v>
      </c>
      <c r="K171" s="11">
        <v>27.0</v>
      </c>
      <c r="L171" s="11">
        <v>0.0</v>
      </c>
      <c r="M171" s="8">
        <f t="shared" si="1"/>
        <v>27</v>
      </c>
      <c r="N171" s="4" t="s">
        <v>27</v>
      </c>
      <c r="O171" s="1" t="s">
        <v>150</v>
      </c>
      <c r="P171" s="1" t="s">
        <v>24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" t="s">
        <v>116</v>
      </c>
      <c r="C172" s="1" t="s">
        <v>101</v>
      </c>
      <c r="D172" s="5">
        <v>116478.0</v>
      </c>
      <c r="E172" s="1" t="s">
        <v>162</v>
      </c>
      <c r="F172" s="1" t="s">
        <v>189</v>
      </c>
      <c r="G172" s="5">
        <v>0.0</v>
      </c>
      <c r="H172" s="5">
        <v>0.0</v>
      </c>
      <c r="I172" s="11">
        <v>0.0</v>
      </c>
      <c r="J172" s="11">
        <v>0.0</v>
      </c>
      <c r="K172" s="11">
        <v>24.0</v>
      </c>
      <c r="L172" s="11">
        <v>0.0</v>
      </c>
      <c r="M172" s="8">
        <f t="shared" si="1"/>
        <v>24</v>
      </c>
      <c r="N172" s="4" t="s">
        <v>27</v>
      </c>
      <c r="O172" s="1" t="s">
        <v>150</v>
      </c>
      <c r="P172" s="1" t="s">
        <v>24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" t="s">
        <v>116</v>
      </c>
      <c r="C173" s="1" t="s">
        <v>95</v>
      </c>
      <c r="D173" s="5">
        <v>116602.0</v>
      </c>
      <c r="E173" s="1" t="s">
        <v>99</v>
      </c>
      <c r="F173" s="1" t="s">
        <v>156</v>
      </c>
      <c r="G173" s="5">
        <v>0.0</v>
      </c>
      <c r="H173" s="5">
        <v>0.0</v>
      </c>
      <c r="I173" s="11">
        <v>0.0</v>
      </c>
      <c r="J173" s="11">
        <v>0.0</v>
      </c>
      <c r="K173" s="11">
        <v>22.0</v>
      </c>
      <c r="L173" s="11">
        <v>0.0</v>
      </c>
      <c r="M173" s="8">
        <f t="shared" si="1"/>
        <v>22</v>
      </c>
      <c r="N173" s="4" t="s">
        <v>27</v>
      </c>
      <c r="O173" s="1" t="s">
        <v>40</v>
      </c>
      <c r="P173" s="1" t="s">
        <v>34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" t="s">
        <v>116</v>
      </c>
      <c r="C174" s="1" t="s">
        <v>95</v>
      </c>
      <c r="D174" s="5">
        <v>116602.0</v>
      </c>
      <c r="E174" s="1" t="s">
        <v>99</v>
      </c>
      <c r="F174" s="1" t="s">
        <v>156</v>
      </c>
      <c r="G174" s="5">
        <v>0.0</v>
      </c>
      <c r="H174" s="5">
        <v>0.0</v>
      </c>
      <c r="I174" s="11">
        <v>0.0</v>
      </c>
      <c r="J174" s="11">
        <v>0.0</v>
      </c>
      <c r="K174" s="11">
        <v>20.0</v>
      </c>
      <c r="L174" s="11">
        <v>0.0</v>
      </c>
      <c r="M174" s="8">
        <f t="shared" si="1"/>
        <v>20</v>
      </c>
      <c r="N174" s="4" t="s">
        <v>27</v>
      </c>
      <c r="O174" s="1" t="s">
        <v>40</v>
      </c>
      <c r="P174" s="1" t="s">
        <v>34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" t="s">
        <v>116</v>
      </c>
      <c r="C175" s="1" t="s">
        <v>16</v>
      </c>
      <c r="D175" s="5">
        <v>102501.0</v>
      </c>
      <c r="E175" s="1" t="s">
        <v>76</v>
      </c>
      <c r="F175" s="1" t="s">
        <v>144</v>
      </c>
      <c r="G175" s="5">
        <v>0.0</v>
      </c>
      <c r="H175" s="5">
        <v>0.0</v>
      </c>
      <c r="I175" s="11">
        <v>0.0</v>
      </c>
      <c r="J175" s="11">
        <v>0.0</v>
      </c>
      <c r="K175" s="11">
        <v>28.0</v>
      </c>
      <c r="L175" s="11">
        <v>0.0</v>
      </c>
      <c r="M175" s="8">
        <f t="shared" si="1"/>
        <v>28</v>
      </c>
      <c r="N175" s="4" t="s">
        <v>27</v>
      </c>
      <c r="O175" s="1" t="s">
        <v>47</v>
      </c>
      <c r="P175" s="1" t="s">
        <v>21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" t="s">
        <v>116</v>
      </c>
      <c r="C176" s="1" t="s">
        <v>95</v>
      </c>
      <c r="D176" s="5">
        <v>116602.0</v>
      </c>
      <c r="E176" s="1" t="s">
        <v>99</v>
      </c>
      <c r="F176" s="1" t="s">
        <v>190</v>
      </c>
      <c r="G176" s="5">
        <v>0.0</v>
      </c>
      <c r="H176" s="5">
        <v>0.0</v>
      </c>
      <c r="I176" s="11">
        <v>0.0</v>
      </c>
      <c r="J176" s="11">
        <v>0.0</v>
      </c>
      <c r="K176" s="11">
        <v>30.0</v>
      </c>
      <c r="L176" s="11">
        <v>0.0</v>
      </c>
      <c r="M176" s="8">
        <f t="shared" si="1"/>
        <v>30</v>
      </c>
      <c r="N176" s="4" t="s">
        <v>27</v>
      </c>
      <c r="O176" s="1" t="s">
        <v>49</v>
      </c>
      <c r="P176" s="1" t="s">
        <v>21</v>
      </c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" t="s">
        <v>116</v>
      </c>
      <c r="C177" s="1" t="s">
        <v>128</v>
      </c>
      <c r="D177" s="5">
        <v>116496.0</v>
      </c>
      <c r="E177" s="1" t="s">
        <v>129</v>
      </c>
      <c r="F177" s="1" t="s">
        <v>191</v>
      </c>
      <c r="G177" s="5">
        <v>0.0</v>
      </c>
      <c r="H177" s="5">
        <v>0.0</v>
      </c>
      <c r="I177" s="11">
        <v>0.0</v>
      </c>
      <c r="J177" s="11">
        <v>0.0</v>
      </c>
      <c r="K177" s="11">
        <v>0.0</v>
      </c>
      <c r="L177" s="11">
        <v>18.0</v>
      </c>
      <c r="M177" s="8">
        <f t="shared" si="1"/>
        <v>18</v>
      </c>
      <c r="N177" s="4" t="s">
        <v>27</v>
      </c>
      <c r="O177" s="1" t="s">
        <v>49</v>
      </c>
      <c r="P177" s="1" t="s">
        <v>21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" t="s">
        <v>116</v>
      </c>
      <c r="C178" s="1" t="s">
        <v>16</v>
      </c>
      <c r="D178" s="5">
        <v>104643.0</v>
      </c>
      <c r="E178" s="1" t="s">
        <v>17</v>
      </c>
      <c r="F178" s="1" t="s">
        <v>192</v>
      </c>
      <c r="G178" s="5">
        <v>0.0</v>
      </c>
      <c r="H178" s="5">
        <v>0.0</v>
      </c>
      <c r="I178" s="11">
        <v>0.0</v>
      </c>
      <c r="J178" s="11">
        <v>0.0</v>
      </c>
      <c r="K178" s="11">
        <v>0.0</v>
      </c>
      <c r="L178" s="11">
        <v>21.0</v>
      </c>
      <c r="M178" s="8">
        <f t="shared" si="1"/>
        <v>21</v>
      </c>
      <c r="N178" s="4" t="s">
        <v>27</v>
      </c>
      <c r="O178" s="1" t="s">
        <v>193</v>
      </c>
      <c r="P178" s="1" t="s">
        <v>21</v>
      </c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" t="s">
        <v>116</v>
      </c>
      <c r="C179" s="1" t="s">
        <v>95</v>
      </c>
      <c r="D179" s="5">
        <v>116501.0</v>
      </c>
      <c r="E179" s="1" t="s">
        <v>141</v>
      </c>
      <c r="F179" s="1" t="s">
        <v>157</v>
      </c>
      <c r="G179" s="5">
        <v>0.0</v>
      </c>
      <c r="H179" s="5">
        <v>0.0</v>
      </c>
      <c r="I179" s="11">
        <v>0.0</v>
      </c>
      <c r="J179" s="11">
        <v>0.0</v>
      </c>
      <c r="K179" s="11">
        <v>25.0</v>
      </c>
      <c r="L179" s="11">
        <v>0.0</v>
      </c>
      <c r="M179" s="8">
        <f t="shared" si="1"/>
        <v>25</v>
      </c>
      <c r="N179" s="4" t="s">
        <v>27</v>
      </c>
      <c r="O179" s="1" t="s">
        <v>52</v>
      </c>
      <c r="P179" s="1" t="s">
        <v>34</v>
      </c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" t="s">
        <v>116</v>
      </c>
      <c r="C180" s="1" t="s">
        <v>95</v>
      </c>
      <c r="D180" s="5">
        <v>116487.0</v>
      </c>
      <c r="E180" s="1" t="s">
        <v>106</v>
      </c>
      <c r="F180" s="1" t="s">
        <v>160</v>
      </c>
      <c r="G180" s="5">
        <v>0.0</v>
      </c>
      <c r="H180" s="5">
        <v>0.0</v>
      </c>
      <c r="I180" s="11">
        <v>0.0</v>
      </c>
      <c r="J180" s="11">
        <v>0.0</v>
      </c>
      <c r="K180" s="11">
        <v>21.0</v>
      </c>
      <c r="L180" s="11">
        <v>0.0</v>
      </c>
      <c r="M180" s="8">
        <f t="shared" si="1"/>
        <v>21</v>
      </c>
      <c r="N180" s="4" t="s">
        <v>27</v>
      </c>
      <c r="O180" s="4" t="s">
        <v>92</v>
      </c>
      <c r="P180" s="1" t="s">
        <v>31</v>
      </c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" t="s">
        <v>116</v>
      </c>
      <c r="C181" s="1" t="s">
        <v>128</v>
      </c>
      <c r="D181" s="5">
        <v>116496.0</v>
      </c>
      <c r="E181" s="1" t="s">
        <v>129</v>
      </c>
      <c r="F181" s="1" t="s">
        <v>194</v>
      </c>
      <c r="G181" s="5">
        <v>0.0</v>
      </c>
      <c r="H181" s="5">
        <v>0.0</v>
      </c>
      <c r="I181" s="11">
        <v>0.0</v>
      </c>
      <c r="J181" s="11">
        <v>0.0</v>
      </c>
      <c r="K181" s="11">
        <v>0.0</v>
      </c>
      <c r="L181" s="11">
        <v>16.0</v>
      </c>
      <c r="M181" s="8">
        <f t="shared" si="1"/>
        <v>16</v>
      </c>
      <c r="N181" s="4" t="s">
        <v>27</v>
      </c>
      <c r="O181" s="1" t="s">
        <v>36</v>
      </c>
      <c r="P181" s="1" t="s">
        <v>31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" t="s">
        <v>116</v>
      </c>
      <c r="C182" s="1" t="s">
        <v>128</v>
      </c>
      <c r="D182" s="5">
        <v>116496.0</v>
      </c>
      <c r="E182" s="1" t="s">
        <v>129</v>
      </c>
      <c r="F182" s="1" t="s">
        <v>194</v>
      </c>
      <c r="G182" s="5">
        <v>0.0</v>
      </c>
      <c r="H182" s="5">
        <v>0.0</v>
      </c>
      <c r="I182" s="11">
        <v>0.0</v>
      </c>
      <c r="J182" s="11">
        <v>0.0</v>
      </c>
      <c r="K182" s="11">
        <v>0.0</v>
      </c>
      <c r="L182" s="11">
        <v>19.0</v>
      </c>
      <c r="M182" s="8">
        <f t="shared" si="1"/>
        <v>19</v>
      </c>
      <c r="N182" s="4" t="s">
        <v>27</v>
      </c>
      <c r="O182" s="1" t="s">
        <v>36</v>
      </c>
      <c r="P182" s="1" t="s">
        <v>31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" t="s">
        <v>116</v>
      </c>
      <c r="C183" s="1" t="s">
        <v>101</v>
      </c>
      <c r="D183" s="5">
        <v>117552.0</v>
      </c>
      <c r="E183" s="1" t="s">
        <v>102</v>
      </c>
      <c r="F183" s="1" t="s">
        <v>159</v>
      </c>
      <c r="G183" s="5">
        <v>0.0</v>
      </c>
      <c r="H183" s="5">
        <v>0.0</v>
      </c>
      <c r="I183" s="11">
        <v>0.0</v>
      </c>
      <c r="J183" s="11">
        <v>0.0</v>
      </c>
      <c r="K183" s="11">
        <v>28.0</v>
      </c>
      <c r="L183" s="11">
        <v>0.0</v>
      </c>
      <c r="M183" s="8">
        <f t="shared" si="1"/>
        <v>28</v>
      </c>
      <c r="N183" s="4" t="s">
        <v>27</v>
      </c>
      <c r="O183" s="4" t="s">
        <v>92</v>
      </c>
      <c r="P183" s="1" t="s">
        <v>31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" t="s">
        <v>116</v>
      </c>
      <c r="C184" s="1" t="s">
        <v>128</v>
      </c>
      <c r="D184" s="5">
        <v>116502.0</v>
      </c>
      <c r="E184" s="1" t="s">
        <v>143</v>
      </c>
      <c r="F184" s="1" t="s">
        <v>194</v>
      </c>
      <c r="G184" s="5">
        <v>0.0</v>
      </c>
      <c r="H184" s="5">
        <v>0.0</v>
      </c>
      <c r="I184" s="11">
        <v>0.0</v>
      </c>
      <c r="J184" s="11">
        <v>0.0</v>
      </c>
      <c r="K184" s="11">
        <v>0.0</v>
      </c>
      <c r="L184" s="11">
        <v>16.0</v>
      </c>
      <c r="M184" s="8">
        <f t="shared" si="1"/>
        <v>16</v>
      </c>
      <c r="N184" s="4" t="s">
        <v>27</v>
      </c>
      <c r="O184" s="1" t="s">
        <v>36</v>
      </c>
      <c r="P184" s="1" t="s">
        <v>31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" t="s">
        <v>116</v>
      </c>
      <c r="C185" s="1" t="s">
        <v>128</v>
      </c>
      <c r="D185" s="5">
        <v>118269.0</v>
      </c>
      <c r="E185" s="1" t="s">
        <v>195</v>
      </c>
      <c r="F185" s="1" t="s">
        <v>194</v>
      </c>
      <c r="G185" s="5">
        <v>0.0</v>
      </c>
      <c r="H185" s="5">
        <v>0.0</v>
      </c>
      <c r="I185" s="11">
        <v>0.0</v>
      </c>
      <c r="J185" s="11">
        <v>0.0</v>
      </c>
      <c r="K185" s="11">
        <v>0.0</v>
      </c>
      <c r="L185" s="11">
        <v>24.0</v>
      </c>
      <c r="M185" s="8">
        <f t="shared" si="1"/>
        <v>24</v>
      </c>
      <c r="N185" s="4" t="s">
        <v>27</v>
      </c>
      <c r="O185" s="1" t="s">
        <v>36</v>
      </c>
      <c r="P185" s="1" t="s">
        <v>31</v>
      </c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" t="s">
        <v>116</v>
      </c>
      <c r="C186" s="1" t="s">
        <v>128</v>
      </c>
      <c r="D186" s="5">
        <v>118269.0</v>
      </c>
      <c r="E186" s="1" t="s">
        <v>195</v>
      </c>
      <c r="F186" s="1" t="s">
        <v>194</v>
      </c>
      <c r="G186" s="5">
        <v>0.0</v>
      </c>
      <c r="H186" s="5">
        <v>0.0</v>
      </c>
      <c r="I186" s="11">
        <v>0.0</v>
      </c>
      <c r="J186" s="11">
        <v>0.0</v>
      </c>
      <c r="K186" s="11">
        <v>0.0</v>
      </c>
      <c r="L186" s="11">
        <v>20.0</v>
      </c>
      <c r="M186" s="8">
        <f t="shared" si="1"/>
        <v>20</v>
      </c>
      <c r="N186" s="4" t="s">
        <v>27</v>
      </c>
      <c r="O186" s="1" t="s">
        <v>36</v>
      </c>
      <c r="P186" s="1" t="s">
        <v>31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" t="s">
        <v>116</v>
      </c>
      <c r="C187" s="1" t="s">
        <v>101</v>
      </c>
      <c r="D187" s="5">
        <v>117552.0</v>
      </c>
      <c r="E187" s="1" t="s">
        <v>102</v>
      </c>
      <c r="F187" s="1" t="s">
        <v>194</v>
      </c>
      <c r="G187" s="5">
        <v>0.0</v>
      </c>
      <c r="H187" s="5">
        <v>0.0</v>
      </c>
      <c r="I187" s="11">
        <v>0.0</v>
      </c>
      <c r="J187" s="11">
        <v>0.0</v>
      </c>
      <c r="K187" s="11">
        <v>0.0</v>
      </c>
      <c r="L187" s="11">
        <v>24.0</v>
      </c>
      <c r="M187" s="8">
        <f t="shared" si="1"/>
        <v>24</v>
      </c>
      <c r="N187" s="4" t="s">
        <v>27</v>
      </c>
      <c r="O187" s="1" t="s">
        <v>36</v>
      </c>
      <c r="P187" s="1" t="s">
        <v>31</v>
      </c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" t="s">
        <v>116</v>
      </c>
      <c r="C188" s="1" t="s">
        <v>16</v>
      </c>
      <c r="D188" s="5">
        <v>104643.0</v>
      </c>
      <c r="E188" s="1" t="s">
        <v>17</v>
      </c>
      <c r="F188" s="1" t="s">
        <v>196</v>
      </c>
      <c r="G188" s="5">
        <v>0.0</v>
      </c>
      <c r="H188" s="5">
        <v>0.0</v>
      </c>
      <c r="I188" s="11">
        <v>0.0</v>
      </c>
      <c r="J188" s="11">
        <v>0.0</v>
      </c>
      <c r="K188" s="11">
        <v>0.0</v>
      </c>
      <c r="L188" s="11">
        <v>20.0</v>
      </c>
      <c r="M188" s="8">
        <f t="shared" si="1"/>
        <v>20</v>
      </c>
      <c r="N188" s="4" t="s">
        <v>27</v>
      </c>
      <c r="O188" s="1" t="s">
        <v>30</v>
      </c>
      <c r="P188" s="1" t="s">
        <v>31</v>
      </c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" t="s">
        <v>116</v>
      </c>
      <c r="C189" s="1" t="s">
        <v>101</v>
      </c>
      <c r="D189" s="5">
        <v>116478.0</v>
      </c>
      <c r="E189" s="1" t="s">
        <v>162</v>
      </c>
      <c r="F189" s="1" t="s">
        <v>194</v>
      </c>
      <c r="G189" s="5">
        <v>0.0</v>
      </c>
      <c r="H189" s="5">
        <v>0.0</v>
      </c>
      <c r="I189" s="11">
        <v>0.0</v>
      </c>
      <c r="J189" s="11">
        <v>0.0</v>
      </c>
      <c r="K189" s="11">
        <v>0.0</v>
      </c>
      <c r="L189" s="11">
        <v>17.0</v>
      </c>
      <c r="M189" s="8">
        <f t="shared" si="1"/>
        <v>17</v>
      </c>
      <c r="N189" s="4" t="s">
        <v>27</v>
      </c>
      <c r="O189" s="1" t="s">
        <v>36</v>
      </c>
      <c r="P189" s="1" t="s">
        <v>31</v>
      </c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" t="s">
        <v>116</v>
      </c>
      <c r="C190" s="1" t="s">
        <v>95</v>
      </c>
      <c r="D190" s="5">
        <v>90810.0</v>
      </c>
      <c r="E190" s="10" t="s">
        <v>96</v>
      </c>
      <c r="F190" s="1" t="s">
        <v>194</v>
      </c>
      <c r="G190" s="5">
        <v>0.0</v>
      </c>
      <c r="H190" s="5">
        <v>0.0</v>
      </c>
      <c r="I190" s="11">
        <v>0.0</v>
      </c>
      <c r="J190" s="11">
        <v>0.0</v>
      </c>
      <c r="K190" s="11">
        <v>0.0</v>
      </c>
      <c r="L190" s="11">
        <v>18.0</v>
      </c>
      <c r="M190" s="8">
        <f t="shared" si="1"/>
        <v>18</v>
      </c>
      <c r="N190" s="4" t="s">
        <v>27</v>
      </c>
      <c r="O190" s="1" t="s">
        <v>36</v>
      </c>
      <c r="P190" s="1" t="s">
        <v>31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" t="s">
        <v>116</v>
      </c>
      <c r="C191" s="1" t="s">
        <v>95</v>
      </c>
      <c r="D191" s="5">
        <v>116487.0</v>
      </c>
      <c r="E191" s="1" t="s">
        <v>106</v>
      </c>
      <c r="F191" s="1" t="s">
        <v>194</v>
      </c>
      <c r="G191" s="5">
        <v>0.0</v>
      </c>
      <c r="H191" s="5">
        <v>0.0</v>
      </c>
      <c r="I191" s="11">
        <v>0.0</v>
      </c>
      <c r="J191" s="11">
        <v>0.0</v>
      </c>
      <c r="K191" s="11">
        <v>0.0</v>
      </c>
      <c r="L191" s="11">
        <v>37.0</v>
      </c>
      <c r="M191" s="8">
        <f t="shared" si="1"/>
        <v>37</v>
      </c>
      <c r="N191" s="4" t="s">
        <v>27</v>
      </c>
      <c r="O191" s="1" t="s">
        <v>36</v>
      </c>
      <c r="P191" s="1" t="s">
        <v>31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" t="s">
        <v>116</v>
      </c>
      <c r="C192" s="1" t="s">
        <v>95</v>
      </c>
      <c r="D192" s="5">
        <v>116487.0</v>
      </c>
      <c r="E192" s="1" t="s">
        <v>106</v>
      </c>
      <c r="F192" s="1" t="s">
        <v>197</v>
      </c>
      <c r="G192" s="5">
        <v>0.0</v>
      </c>
      <c r="H192" s="5">
        <v>0.0</v>
      </c>
      <c r="I192" s="11">
        <v>0.0</v>
      </c>
      <c r="J192" s="11">
        <v>0.0</v>
      </c>
      <c r="K192" s="11">
        <v>0.0</v>
      </c>
      <c r="L192" s="11">
        <v>24.0</v>
      </c>
      <c r="M192" s="8">
        <f t="shared" si="1"/>
        <v>24</v>
      </c>
      <c r="N192" s="4" t="s">
        <v>27</v>
      </c>
      <c r="O192" s="1" t="s">
        <v>36</v>
      </c>
      <c r="P192" s="1" t="s">
        <v>31</v>
      </c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" t="s">
        <v>116</v>
      </c>
      <c r="C193" s="1" t="s">
        <v>95</v>
      </c>
      <c r="D193" s="5">
        <v>116487.0</v>
      </c>
      <c r="E193" s="1" t="s">
        <v>106</v>
      </c>
      <c r="F193" s="1" t="s">
        <v>198</v>
      </c>
      <c r="G193" s="5">
        <v>0.0</v>
      </c>
      <c r="H193" s="5">
        <v>0.0</v>
      </c>
      <c r="I193" s="11">
        <v>0.0</v>
      </c>
      <c r="J193" s="11">
        <v>0.0</v>
      </c>
      <c r="K193" s="11">
        <v>30.0</v>
      </c>
      <c r="L193" s="11">
        <v>0.0</v>
      </c>
      <c r="M193" s="8">
        <f t="shared" si="1"/>
        <v>30</v>
      </c>
      <c r="N193" s="4" t="s">
        <v>27</v>
      </c>
      <c r="O193" s="1" t="s">
        <v>193</v>
      </c>
      <c r="P193" s="1" t="s">
        <v>21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"/>
      <c r="B194" s="1"/>
      <c r="C194" s="1"/>
      <c r="D194" s="1"/>
      <c r="E194" s="1"/>
      <c r="F194" s="1"/>
      <c r="G194" s="12">
        <f t="shared" ref="G194:M194" si="2">SUM(G2:G193)</f>
        <v>344</v>
      </c>
      <c r="H194" s="12">
        <f t="shared" si="2"/>
        <v>722</v>
      </c>
      <c r="I194" s="12">
        <f t="shared" si="2"/>
        <v>1183</v>
      </c>
      <c r="J194" s="12">
        <f t="shared" si="2"/>
        <v>354</v>
      </c>
      <c r="K194" s="12">
        <f t="shared" si="2"/>
        <v>2048</v>
      </c>
      <c r="L194" s="12">
        <f t="shared" si="2"/>
        <v>537</v>
      </c>
      <c r="M194" s="13">
        <f t="shared" si="2"/>
        <v>5188</v>
      </c>
      <c r="N194" s="10"/>
      <c r="O194" s="10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5"/>
      <c r="H195" s="14"/>
      <c r="I195" s="14"/>
      <c r="J195" s="14"/>
      <c r="K195" s="14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5"/>
      <c r="H196" s="5"/>
      <c r="I196" s="5"/>
      <c r="J196" s="5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5"/>
      <c r="H197" s="5"/>
      <c r="I197" s="5"/>
      <c r="J197" s="5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5"/>
      <c r="H198" s="5"/>
      <c r="I198" s="5"/>
      <c r="J198" s="5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5"/>
      <c r="H199" s="5"/>
      <c r="I199" s="5"/>
      <c r="J199" s="5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5"/>
      <c r="H200" s="5"/>
      <c r="I200" s="5"/>
      <c r="J200" s="5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5"/>
      <c r="H201" s="5"/>
      <c r="I201" s="5"/>
      <c r="J201" s="5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5"/>
      <c r="H202" s="5"/>
      <c r="I202" s="5"/>
      <c r="J202" s="5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5"/>
      <c r="H203" s="5"/>
      <c r="I203" s="5"/>
      <c r="J203" s="5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5"/>
      <c r="H204" s="5"/>
      <c r="I204" s="5"/>
      <c r="J204" s="5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5"/>
      <c r="H205" s="5"/>
      <c r="I205" s="5"/>
      <c r="J205" s="5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5"/>
      <c r="H206" s="5"/>
      <c r="I206" s="5"/>
      <c r="J206" s="5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5"/>
      <c r="H207" s="5"/>
      <c r="I207" s="5"/>
      <c r="J207" s="5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5"/>
      <c r="H208" s="5"/>
      <c r="I208" s="5"/>
      <c r="J208" s="5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5"/>
      <c r="H209" s="5"/>
      <c r="I209" s="5"/>
      <c r="J209" s="5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5"/>
      <c r="H210" s="5"/>
      <c r="I210" s="5"/>
      <c r="J210" s="5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5"/>
      <c r="H211" s="5"/>
      <c r="I211" s="5"/>
      <c r="J211" s="5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5"/>
      <c r="H212" s="5"/>
      <c r="I212" s="5"/>
      <c r="J212" s="5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5"/>
      <c r="H213" s="5"/>
      <c r="I213" s="5"/>
      <c r="J213" s="5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5"/>
      <c r="H214" s="5"/>
      <c r="I214" s="5"/>
      <c r="J214" s="5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5"/>
      <c r="H215" s="5"/>
      <c r="I215" s="5"/>
      <c r="J215" s="5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5"/>
      <c r="H216" s="5"/>
      <c r="I216" s="5"/>
      <c r="J216" s="5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5"/>
      <c r="H217" s="5"/>
      <c r="I217" s="5"/>
      <c r="J217" s="5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5"/>
      <c r="H218" s="5"/>
      <c r="I218" s="5"/>
      <c r="J218" s="5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5"/>
      <c r="H219" s="5"/>
      <c r="I219" s="5"/>
      <c r="J219" s="5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5"/>
      <c r="H220" s="5"/>
      <c r="I220" s="5"/>
      <c r="J220" s="5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5"/>
      <c r="H221" s="5"/>
      <c r="I221" s="5"/>
      <c r="J221" s="5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5"/>
      <c r="H222" s="5"/>
      <c r="I222" s="5"/>
      <c r="J222" s="5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5"/>
      <c r="H223" s="5"/>
      <c r="I223" s="5"/>
      <c r="J223" s="5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5"/>
      <c r="H224" s="5"/>
      <c r="I224" s="5"/>
      <c r="J224" s="5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5"/>
      <c r="H225" s="5"/>
      <c r="I225" s="5"/>
      <c r="J225" s="5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5"/>
      <c r="H226" s="5"/>
      <c r="I226" s="5"/>
      <c r="J226" s="5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5"/>
      <c r="H227" s="5"/>
      <c r="I227" s="5"/>
      <c r="J227" s="5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5"/>
      <c r="H228" s="5"/>
      <c r="I228" s="5"/>
      <c r="J228" s="5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5"/>
      <c r="H229" s="5"/>
      <c r="I229" s="5"/>
      <c r="J229" s="5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5"/>
      <c r="H230" s="5"/>
      <c r="I230" s="5"/>
      <c r="J230" s="5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5"/>
      <c r="H231" s="5"/>
      <c r="I231" s="5"/>
      <c r="J231" s="5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5"/>
      <c r="H232" s="5"/>
      <c r="I232" s="5"/>
      <c r="J232" s="5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5"/>
      <c r="H233" s="5"/>
      <c r="I233" s="5"/>
      <c r="J233" s="5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5"/>
      <c r="H234" s="5"/>
      <c r="I234" s="5"/>
      <c r="J234" s="5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5"/>
      <c r="H235" s="5"/>
      <c r="I235" s="5"/>
      <c r="J235" s="5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5"/>
      <c r="H236" s="5"/>
      <c r="I236" s="5"/>
      <c r="J236" s="5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5"/>
      <c r="H237" s="5"/>
      <c r="I237" s="5"/>
      <c r="J237" s="5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5"/>
      <c r="H238" s="5"/>
      <c r="I238" s="5"/>
      <c r="J238" s="5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5"/>
      <c r="H239" s="5"/>
      <c r="I239" s="5"/>
      <c r="J239" s="5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5"/>
      <c r="H240" s="5"/>
      <c r="I240" s="5"/>
      <c r="J240" s="5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5"/>
      <c r="H241" s="5"/>
      <c r="I241" s="5"/>
      <c r="J241" s="5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5"/>
      <c r="H242" s="5"/>
      <c r="I242" s="5"/>
      <c r="J242" s="5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5"/>
      <c r="H243" s="5"/>
      <c r="I243" s="5"/>
      <c r="J243" s="5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5"/>
      <c r="H244" s="5"/>
      <c r="I244" s="5"/>
      <c r="J244" s="5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5"/>
      <c r="H245" s="5"/>
      <c r="I245" s="5"/>
      <c r="J245" s="5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5"/>
      <c r="H246" s="5"/>
      <c r="I246" s="5"/>
      <c r="J246" s="5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5"/>
      <c r="H247" s="5"/>
      <c r="I247" s="5"/>
      <c r="J247" s="5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5"/>
      <c r="H248" s="5"/>
      <c r="I248" s="5"/>
      <c r="J248" s="5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5"/>
      <c r="H249" s="5"/>
      <c r="I249" s="5"/>
      <c r="J249" s="5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5"/>
      <c r="H250" s="5"/>
      <c r="I250" s="5"/>
      <c r="J250" s="5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5"/>
      <c r="H251" s="5"/>
      <c r="I251" s="5"/>
      <c r="J251" s="5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5"/>
      <c r="H252" s="5"/>
      <c r="I252" s="5"/>
      <c r="J252" s="5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5"/>
      <c r="H253" s="5"/>
      <c r="I253" s="5"/>
      <c r="J253" s="5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5"/>
      <c r="H254" s="5"/>
      <c r="I254" s="5"/>
      <c r="J254" s="5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5"/>
      <c r="H255" s="5"/>
      <c r="I255" s="5"/>
      <c r="J255" s="5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5"/>
      <c r="H256" s="5"/>
      <c r="I256" s="5"/>
      <c r="J256" s="5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5"/>
      <c r="H257" s="5"/>
      <c r="I257" s="5"/>
      <c r="J257" s="5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5"/>
      <c r="H258" s="5"/>
      <c r="I258" s="5"/>
      <c r="J258" s="5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5"/>
      <c r="H259" s="5"/>
      <c r="I259" s="5"/>
      <c r="J259" s="5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5"/>
      <c r="H260" s="5"/>
      <c r="I260" s="5"/>
      <c r="J260" s="5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5"/>
      <c r="H261" s="5"/>
      <c r="I261" s="5"/>
      <c r="J261" s="5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5"/>
      <c r="H262" s="5"/>
      <c r="I262" s="5"/>
      <c r="J262" s="5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5"/>
      <c r="H263" s="5"/>
      <c r="I263" s="5"/>
      <c r="J263" s="5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5"/>
      <c r="H264" s="5"/>
      <c r="I264" s="5"/>
      <c r="J264" s="5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5"/>
      <c r="H265" s="5"/>
      <c r="I265" s="5"/>
      <c r="J265" s="5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5"/>
      <c r="H266" s="5"/>
      <c r="I266" s="5"/>
      <c r="J266" s="5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5"/>
      <c r="H267" s="5"/>
      <c r="I267" s="5"/>
      <c r="J267" s="5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5"/>
      <c r="H268" s="5"/>
      <c r="I268" s="5"/>
      <c r="J268" s="5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5"/>
      <c r="H269" s="5"/>
      <c r="I269" s="5"/>
      <c r="J269" s="5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5"/>
      <c r="H270" s="5"/>
      <c r="I270" s="5"/>
      <c r="J270" s="5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5"/>
      <c r="H271" s="5"/>
      <c r="I271" s="5"/>
      <c r="J271" s="5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5"/>
      <c r="H272" s="5"/>
      <c r="I272" s="5"/>
      <c r="J272" s="5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5"/>
      <c r="H273" s="5"/>
      <c r="I273" s="5"/>
      <c r="J273" s="5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5"/>
      <c r="H274" s="5"/>
      <c r="I274" s="5"/>
      <c r="J274" s="5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5"/>
      <c r="H275" s="5"/>
      <c r="I275" s="5"/>
      <c r="J275" s="5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5"/>
      <c r="H276" s="5"/>
      <c r="I276" s="5"/>
      <c r="J276" s="5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5"/>
      <c r="H277" s="5"/>
      <c r="I277" s="5"/>
      <c r="J277" s="5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5"/>
      <c r="H278" s="5"/>
      <c r="I278" s="5"/>
      <c r="J278" s="5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5"/>
      <c r="H279" s="5"/>
      <c r="I279" s="5"/>
      <c r="J279" s="5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5"/>
      <c r="H280" s="5"/>
      <c r="I280" s="5"/>
      <c r="J280" s="5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5"/>
      <c r="H281" s="5"/>
      <c r="I281" s="5"/>
      <c r="J281" s="5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5"/>
      <c r="H282" s="5"/>
      <c r="I282" s="5"/>
      <c r="J282" s="5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5"/>
      <c r="H283" s="5"/>
      <c r="I283" s="5"/>
      <c r="J283" s="5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5"/>
      <c r="H284" s="5"/>
      <c r="I284" s="5"/>
      <c r="J284" s="5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5"/>
      <c r="H285" s="5"/>
      <c r="I285" s="5"/>
      <c r="J285" s="5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5"/>
      <c r="H286" s="5"/>
      <c r="I286" s="5"/>
      <c r="J286" s="5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5"/>
      <c r="H287" s="5"/>
      <c r="I287" s="5"/>
      <c r="J287" s="5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5"/>
      <c r="H288" s="5"/>
      <c r="I288" s="5"/>
      <c r="J288" s="5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5"/>
      <c r="H289" s="5"/>
      <c r="I289" s="5"/>
      <c r="J289" s="5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5"/>
      <c r="H290" s="5"/>
      <c r="I290" s="5"/>
      <c r="J290" s="5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5"/>
      <c r="H291" s="5"/>
      <c r="I291" s="5"/>
      <c r="J291" s="5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5"/>
      <c r="H292" s="5"/>
      <c r="I292" s="5"/>
      <c r="J292" s="5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5"/>
      <c r="H293" s="5"/>
      <c r="I293" s="5"/>
      <c r="J293" s="5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5"/>
      <c r="H294" s="5"/>
      <c r="I294" s="5"/>
      <c r="J294" s="5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5"/>
      <c r="H295" s="5"/>
      <c r="I295" s="5"/>
      <c r="J295" s="5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5"/>
      <c r="H296" s="5"/>
      <c r="I296" s="5"/>
      <c r="J296" s="5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5"/>
      <c r="H297" s="5"/>
      <c r="I297" s="5"/>
      <c r="J297" s="5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5"/>
      <c r="H298" s="5"/>
      <c r="I298" s="5"/>
      <c r="J298" s="5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5"/>
      <c r="H299" s="5"/>
      <c r="I299" s="5"/>
      <c r="J299" s="5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5"/>
      <c r="H300" s="5"/>
      <c r="I300" s="5"/>
      <c r="J300" s="5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5"/>
      <c r="H301" s="5"/>
      <c r="I301" s="5"/>
      <c r="J301" s="5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5"/>
      <c r="H302" s="5"/>
      <c r="I302" s="5"/>
      <c r="J302" s="5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5"/>
      <c r="H303" s="5"/>
      <c r="I303" s="5"/>
      <c r="J303" s="5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5"/>
      <c r="H304" s="5"/>
      <c r="I304" s="5"/>
      <c r="J304" s="5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5"/>
      <c r="H305" s="5"/>
      <c r="I305" s="5"/>
      <c r="J305" s="5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5"/>
      <c r="H306" s="5"/>
      <c r="I306" s="5"/>
      <c r="J306" s="5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5"/>
      <c r="H307" s="5"/>
      <c r="I307" s="5"/>
      <c r="J307" s="5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5"/>
      <c r="H308" s="5"/>
      <c r="I308" s="5"/>
      <c r="J308" s="5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5"/>
      <c r="H309" s="5"/>
      <c r="I309" s="5"/>
      <c r="J309" s="5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5"/>
      <c r="H310" s="5"/>
      <c r="I310" s="5"/>
      <c r="J310" s="5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5"/>
      <c r="H311" s="5"/>
      <c r="I311" s="5"/>
      <c r="J311" s="5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5"/>
      <c r="H312" s="5"/>
      <c r="I312" s="5"/>
      <c r="J312" s="5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5"/>
      <c r="H313" s="5"/>
      <c r="I313" s="5"/>
      <c r="J313" s="5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5"/>
      <c r="H314" s="5"/>
      <c r="I314" s="5"/>
      <c r="J314" s="5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5"/>
      <c r="H315" s="5"/>
      <c r="I315" s="5"/>
      <c r="J315" s="5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5"/>
      <c r="H316" s="5"/>
      <c r="I316" s="5"/>
      <c r="J316" s="5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5"/>
      <c r="H317" s="5"/>
      <c r="I317" s="5"/>
      <c r="J317" s="5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5"/>
      <c r="H318" s="5"/>
      <c r="I318" s="5"/>
      <c r="J318" s="5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5"/>
      <c r="H319" s="5"/>
      <c r="I319" s="5"/>
      <c r="J319" s="5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5"/>
      <c r="H320" s="5"/>
      <c r="I320" s="5"/>
      <c r="J320" s="5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5"/>
      <c r="H321" s="5"/>
      <c r="I321" s="5"/>
      <c r="J321" s="5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5"/>
      <c r="H322" s="5"/>
      <c r="I322" s="5"/>
      <c r="J322" s="5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5"/>
      <c r="H323" s="5"/>
      <c r="I323" s="5"/>
      <c r="J323" s="5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5"/>
      <c r="H324" s="5"/>
      <c r="I324" s="5"/>
      <c r="J324" s="5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5"/>
      <c r="H325" s="5"/>
      <c r="I325" s="5"/>
      <c r="J325" s="5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5"/>
      <c r="H326" s="5"/>
      <c r="I326" s="5"/>
      <c r="J326" s="5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5"/>
      <c r="H327" s="5"/>
      <c r="I327" s="5"/>
      <c r="J327" s="5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5"/>
      <c r="H328" s="5"/>
      <c r="I328" s="5"/>
      <c r="J328" s="5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5"/>
      <c r="H329" s="5"/>
      <c r="I329" s="5"/>
      <c r="J329" s="5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5"/>
      <c r="H330" s="5"/>
      <c r="I330" s="5"/>
      <c r="J330" s="5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5"/>
      <c r="H331" s="5"/>
      <c r="I331" s="5"/>
      <c r="J331" s="5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5"/>
      <c r="H332" s="5"/>
      <c r="I332" s="5"/>
      <c r="J332" s="5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5"/>
      <c r="H333" s="5"/>
      <c r="I333" s="5"/>
      <c r="J333" s="5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5"/>
      <c r="H334" s="5"/>
      <c r="I334" s="5"/>
      <c r="J334" s="5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5"/>
      <c r="H335" s="5"/>
      <c r="I335" s="5"/>
      <c r="J335" s="5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5"/>
      <c r="H336" s="5"/>
      <c r="I336" s="5"/>
      <c r="J336" s="5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5"/>
      <c r="H337" s="5"/>
      <c r="I337" s="5"/>
      <c r="J337" s="5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5"/>
      <c r="H338" s="5"/>
      <c r="I338" s="5"/>
      <c r="J338" s="5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5"/>
      <c r="H339" s="5"/>
      <c r="I339" s="5"/>
      <c r="J339" s="5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5"/>
      <c r="H340" s="5"/>
      <c r="I340" s="5"/>
      <c r="J340" s="5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5"/>
      <c r="H341" s="5"/>
      <c r="I341" s="5"/>
      <c r="J341" s="5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5"/>
      <c r="H342" s="5"/>
      <c r="I342" s="5"/>
      <c r="J342" s="5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5"/>
      <c r="H343" s="5"/>
      <c r="I343" s="5"/>
      <c r="J343" s="5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5"/>
      <c r="H344" s="5"/>
      <c r="I344" s="5"/>
      <c r="J344" s="5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5"/>
      <c r="H345" s="5"/>
      <c r="I345" s="5"/>
      <c r="J345" s="5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5"/>
      <c r="H346" s="5"/>
      <c r="I346" s="5"/>
      <c r="J346" s="5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5"/>
      <c r="H347" s="5"/>
      <c r="I347" s="5"/>
      <c r="J347" s="5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5"/>
      <c r="H348" s="5"/>
      <c r="I348" s="5"/>
      <c r="J348" s="5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5"/>
      <c r="H349" s="5"/>
      <c r="I349" s="5"/>
      <c r="J349" s="5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5"/>
      <c r="H350" s="5"/>
      <c r="I350" s="5"/>
      <c r="J350" s="5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5"/>
      <c r="H351" s="5"/>
      <c r="I351" s="5"/>
      <c r="J351" s="5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5"/>
      <c r="H352" s="5"/>
      <c r="I352" s="5"/>
      <c r="J352" s="5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5"/>
      <c r="H353" s="5"/>
      <c r="I353" s="5"/>
      <c r="J353" s="5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5"/>
      <c r="H354" s="5"/>
      <c r="I354" s="5"/>
      <c r="J354" s="5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5"/>
      <c r="H355" s="5"/>
      <c r="I355" s="5"/>
      <c r="J355" s="5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5"/>
      <c r="H356" s="5"/>
      <c r="I356" s="5"/>
      <c r="J356" s="5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5"/>
      <c r="H357" s="5"/>
      <c r="I357" s="5"/>
      <c r="J357" s="5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5"/>
      <c r="H358" s="5"/>
      <c r="I358" s="5"/>
      <c r="J358" s="5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5"/>
      <c r="H359" s="5"/>
      <c r="I359" s="5"/>
      <c r="J359" s="5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5"/>
      <c r="H360" s="5"/>
      <c r="I360" s="5"/>
      <c r="J360" s="5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5"/>
      <c r="H361" s="5"/>
      <c r="I361" s="5"/>
      <c r="J361" s="5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5"/>
      <c r="H362" s="5"/>
      <c r="I362" s="5"/>
      <c r="J362" s="5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5"/>
      <c r="H363" s="5"/>
      <c r="I363" s="5"/>
      <c r="J363" s="5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5"/>
      <c r="H364" s="5"/>
      <c r="I364" s="5"/>
      <c r="J364" s="5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5"/>
      <c r="H365" s="5"/>
      <c r="I365" s="5"/>
      <c r="J365" s="5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5"/>
      <c r="H366" s="5"/>
      <c r="I366" s="5"/>
      <c r="J366" s="5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5"/>
      <c r="H367" s="5"/>
      <c r="I367" s="5"/>
      <c r="J367" s="5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5"/>
      <c r="H368" s="5"/>
      <c r="I368" s="5"/>
      <c r="J368" s="5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5"/>
      <c r="H369" s="5"/>
      <c r="I369" s="5"/>
      <c r="J369" s="5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5"/>
      <c r="H370" s="5"/>
      <c r="I370" s="5"/>
      <c r="J370" s="5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5"/>
      <c r="H371" s="5"/>
      <c r="I371" s="5"/>
      <c r="J371" s="5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5"/>
      <c r="H372" s="5"/>
      <c r="I372" s="5"/>
      <c r="J372" s="5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5"/>
      <c r="H373" s="5"/>
      <c r="I373" s="5"/>
      <c r="J373" s="5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5"/>
      <c r="H374" s="5"/>
      <c r="I374" s="5"/>
      <c r="J374" s="5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5"/>
      <c r="H375" s="5"/>
      <c r="I375" s="5"/>
      <c r="J375" s="5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5"/>
      <c r="H376" s="5"/>
      <c r="I376" s="5"/>
      <c r="J376" s="5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5"/>
      <c r="H377" s="5"/>
      <c r="I377" s="5"/>
      <c r="J377" s="5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5"/>
      <c r="H378" s="5"/>
      <c r="I378" s="5"/>
      <c r="J378" s="5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5"/>
      <c r="H379" s="5"/>
      <c r="I379" s="5"/>
      <c r="J379" s="5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5"/>
      <c r="H380" s="5"/>
      <c r="I380" s="5"/>
      <c r="J380" s="5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5"/>
      <c r="H381" s="5"/>
      <c r="I381" s="5"/>
      <c r="J381" s="5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5"/>
      <c r="H382" s="5"/>
      <c r="I382" s="5"/>
      <c r="J382" s="5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5"/>
      <c r="H383" s="5"/>
      <c r="I383" s="5"/>
      <c r="J383" s="5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5"/>
      <c r="H384" s="5"/>
      <c r="I384" s="5"/>
      <c r="J384" s="5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5"/>
      <c r="H385" s="5"/>
      <c r="I385" s="5"/>
      <c r="J385" s="5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5"/>
      <c r="H386" s="5"/>
      <c r="I386" s="5"/>
      <c r="J386" s="5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5"/>
      <c r="H387" s="5"/>
      <c r="I387" s="5"/>
      <c r="J387" s="5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5"/>
      <c r="H388" s="5"/>
      <c r="I388" s="5"/>
      <c r="J388" s="5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5"/>
      <c r="H389" s="5"/>
      <c r="I389" s="5"/>
      <c r="J389" s="5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5"/>
      <c r="H390" s="5"/>
      <c r="I390" s="5"/>
      <c r="J390" s="5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5"/>
      <c r="H391" s="5"/>
      <c r="I391" s="5"/>
      <c r="J391" s="5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5"/>
      <c r="H392" s="5"/>
      <c r="I392" s="5"/>
      <c r="J392" s="5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5"/>
      <c r="H393" s="5"/>
      <c r="I393" s="5"/>
      <c r="J393" s="5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5"/>
      <c r="H394" s="5"/>
      <c r="I394" s="5"/>
      <c r="J394" s="5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5"/>
      <c r="H395" s="5"/>
      <c r="I395" s="5"/>
      <c r="J395" s="5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5"/>
      <c r="H396" s="5"/>
      <c r="I396" s="5"/>
      <c r="J396" s="5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5"/>
      <c r="H397" s="5"/>
      <c r="I397" s="5"/>
      <c r="J397" s="5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5"/>
      <c r="H398" s="5"/>
      <c r="I398" s="5"/>
      <c r="J398" s="5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5"/>
      <c r="H399" s="5"/>
      <c r="I399" s="5"/>
      <c r="J399" s="5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5"/>
      <c r="H400" s="5"/>
      <c r="I400" s="5"/>
      <c r="J400" s="5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5"/>
      <c r="H401" s="5"/>
      <c r="I401" s="5"/>
      <c r="J401" s="5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5"/>
      <c r="H402" s="5"/>
      <c r="I402" s="5"/>
      <c r="J402" s="5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5"/>
      <c r="H403" s="5"/>
      <c r="I403" s="5"/>
      <c r="J403" s="5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5"/>
      <c r="H404" s="5"/>
      <c r="I404" s="5"/>
      <c r="J404" s="5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5"/>
      <c r="H405" s="5"/>
      <c r="I405" s="5"/>
      <c r="J405" s="5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5"/>
      <c r="H406" s="5"/>
      <c r="I406" s="5"/>
      <c r="J406" s="5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5"/>
      <c r="H407" s="5"/>
      <c r="I407" s="5"/>
      <c r="J407" s="5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5"/>
      <c r="H408" s="5"/>
      <c r="I408" s="5"/>
      <c r="J408" s="5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5"/>
      <c r="H409" s="5"/>
      <c r="I409" s="5"/>
      <c r="J409" s="5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5"/>
      <c r="H410" s="5"/>
      <c r="I410" s="5"/>
      <c r="J410" s="5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5"/>
      <c r="H411" s="5"/>
      <c r="I411" s="5"/>
      <c r="J411" s="5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5"/>
      <c r="H412" s="5"/>
      <c r="I412" s="5"/>
      <c r="J412" s="5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5"/>
      <c r="H413" s="5"/>
      <c r="I413" s="5"/>
      <c r="J413" s="5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5"/>
      <c r="H414" s="5"/>
      <c r="I414" s="5"/>
      <c r="J414" s="5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5"/>
      <c r="H415" s="5"/>
      <c r="I415" s="5"/>
      <c r="J415" s="5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5"/>
      <c r="H416" s="5"/>
      <c r="I416" s="5"/>
      <c r="J416" s="5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5"/>
      <c r="H417" s="5"/>
      <c r="I417" s="5"/>
      <c r="J417" s="5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5"/>
      <c r="H418" s="5"/>
      <c r="I418" s="5"/>
      <c r="J418" s="5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5"/>
      <c r="H419" s="5"/>
      <c r="I419" s="5"/>
      <c r="J419" s="5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5"/>
      <c r="H420" s="5"/>
      <c r="I420" s="5"/>
      <c r="J420" s="5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5"/>
      <c r="H421" s="5"/>
      <c r="I421" s="5"/>
      <c r="J421" s="5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5"/>
      <c r="H422" s="5"/>
      <c r="I422" s="5"/>
      <c r="J422" s="5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5"/>
      <c r="H423" s="5"/>
      <c r="I423" s="5"/>
      <c r="J423" s="5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5"/>
      <c r="H424" s="5"/>
      <c r="I424" s="5"/>
      <c r="J424" s="5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5"/>
      <c r="H425" s="5"/>
      <c r="I425" s="5"/>
      <c r="J425" s="5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5"/>
      <c r="H426" s="5"/>
      <c r="I426" s="5"/>
      <c r="J426" s="5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5"/>
      <c r="H427" s="5"/>
      <c r="I427" s="5"/>
      <c r="J427" s="5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5"/>
      <c r="H428" s="5"/>
      <c r="I428" s="5"/>
      <c r="J428" s="5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5"/>
      <c r="H429" s="5"/>
      <c r="I429" s="5"/>
      <c r="J429" s="5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5"/>
      <c r="H430" s="5"/>
      <c r="I430" s="5"/>
      <c r="J430" s="5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5"/>
      <c r="H431" s="5"/>
      <c r="I431" s="5"/>
      <c r="J431" s="5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5"/>
      <c r="H432" s="5"/>
      <c r="I432" s="5"/>
      <c r="J432" s="5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5"/>
      <c r="H433" s="5"/>
      <c r="I433" s="5"/>
      <c r="J433" s="5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5"/>
      <c r="H434" s="5"/>
      <c r="I434" s="5"/>
      <c r="J434" s="5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5"/>
      <c r="H435" s="5"/>
      <c r="I435" s="5"/>
      <c r="J435" s="5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5"/>
      <c r="H436" s="5"/>
      <c r="I436" s="5"/>
      <c r="J436" s="5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5"/>
      <c r="H437" s="5"/>
      <c r="I437" s="5"/>
      <c r="J437" s="5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5"/>
      <c r="H438" s="5"/>
      <c r="I438" s="5"/>
      <c r="J438" s="5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5"/>
      <c r="H439" s="5"/>
      <c r="I439" s="5"/>
      <c r="J439" s="5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5"/>
      <c r="H440" s="5"/>
      <c r="I440" s="5"/>
      <c r="J440" s="5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5"/>
      <c r="H441" s="5"/>
      <c r="I441" s="5"/>
      <c r="J441" s="5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5"/>
      <c r="H442" s="5"/>
      <c r="I442" s="5"/>
      <c r="J442" s="5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5"/>
      <c r="H443" s="5"/>
      <c r="I443" s="5"/>
      <c r="J443" s="5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5"/>
      <c r="H444" s="5"/>
      <c r="I444" s="5"/>
      <c r="J444" s="5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5"/>
      <c r="H445" s="5"/>
      <c r="I445" s="5"/>
      <c r="J445" s="5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5"/>
      <c r="H446" s="5"/>
      <c r="I446" s="5"/>
      <c r="J446" s="5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5"/>
      <c r="H447" s="5"/>
      <c r="I447" s="5"/>
      <c r="J447" s="5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5"/>
      <c r="H448" s="5"/>
      <c r="I448" s="5"/>
      <c r="J448" s="5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5"/>
      <c r="H449" s="5"/>
      <c r="I449" s="5"/>
      <c r="J449" s="5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5"/>
      <c r="H450" s="5"/>
      <c r="I450" s="5"/>
      <c r="J450" s="5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5"/>
      <c r="H451" s="5"/>
      <c r="I451" s="5"/>
      <c r="J451" s="5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5"/>
      <c r="H452" s="5"/>
      <c r="I452" s="5"/>
      <c r="J452" s="5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5"/>
      <c r="H453" s="5"/>
      <c r="I453" s="5"/>
      <c r="J453" s="5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5"/>
      <c r="H454" s="5"/>
      <c r="I454" s="5"/>
      <c r="J454" s="5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5"/>
      <c r="H455" s="5"/>
      <c r="I455" s="5"/>
      <c r="J455" s="5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5"/>
      <c r="H456" s="5"/>
      <c r="I456" s="5"/>
      <c r="J456" s="5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5"/>
      <c r="H457" s="5"/>
      <c r="I457" s="5"/>
      <c r="J457" s="5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5"/>
      <c r="H458" s="5"/>
      <c r="I458" s="5"/>
      <c r="J458" s="5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5"/>
      <c r="H459" s="5"/>
      <c r="I459" s="5"/>
      <c r="J459" s="5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5"/>
      <c r="H460" s="5"/>
      <c r="I460" s="5"/>
      <c r="J460" s="5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5"/>
      <c r="H461" s="5"/>
      <c r="I461" s="5"/>
      <c r="J461" s="5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5"/>
      <c r="H462" s="5"/>
      <c r="I462" s="5"/>
      <c r="J462" s="5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5"/>
      <c r="H463" s="5"/>
      <c r="I463" s="5"/>
      <c r="J463" s="5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5"/>
      <c r="H464" s="5"/>
      <c r="I464" s="5"/>
      <c r="J464" s="5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5"/>
      <c r="H465" s="5"/>
      <c r="I465" s="5"/>
      <c r="J465" s="5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5"/>
      <c r="H466" s="5"/>
      <c r="I466" s="5"/>
      <c r="J466" s="5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5"/>
      <c r="H467" s="5"/>
      <c r="I467" s="5"/>
      <c r="J467" s="5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5"/>
      <c r="H468" s="5"/>
      <c r="I468" s="5"/>
      <c r="J468" s="5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5"/>
      <c r="H469" s="5"/>
      <c r="I469" s="5"/>
      <c r="J469" s="5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5"/>
      <c r="H470" s="5"/>
      <c r="I470" s="5"/>
      <c r="J470" s="5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5"/>
      <c r="H471" s="5"/>
      <c r="I471" s="5"/>
      <c r="J471" s="5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5"/>
      <c r="H472" s="5"/>
      <c r="I472" s="5"/>
      <c r="J472" s="5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5"/>
      <c r="H473" s="5"/>
      <c r="I473" s="5"/>
      <c r="J473" s="5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5"/>
      <c r="H474" s="5"/>
      <c r="I474" s="5"/>
      <c r="J474" s="5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5"/>
      <c r="H475" s="5"/>
      <c r="I475" s="5"/>
      <c r="J475" s="5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5"/>
      <c r="H476" s="5"/>
      <c r="I476" s="5"/>
      <c r="J476" s="5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5"/>
      <c r="H477" s="5"/>
      <c r="I477" s="5"/>
      <c r="J477" s="5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5"/>
      <c r="H478" s="5"/>
      <c r="I478" s="5"/>
      <c r="J478" s="5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5"/>
      <c r="H479" s="5"/>
      <c r="I479" s="5"/>
      <c r="J479" s="5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5"/>
      <c r="H480" s="5"/>
      <c r="I480" s="5"/>
      <c r="J480" s="5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5"/>
      <c r="H481" s="5"/>
      <c r="I481" s="5"/>
      <c r="J481" s="5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5"/>
      <c r="H482" s="5"/>
      <c r="I482" s="5"/>
      <c r="J482" s="5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5"/>
      <c r="H483" s="5"/>
      <c r="I483" s="5"/>
      <c r="J483" s="5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5"/>
      <c r="H484" s="5"/>
      <c r="I484" s="5"/>
      <c r="J484" s="5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5"/>
      <c r="H485" s="5"/>
      <c r="I485" s="5"/>
      <c r="J485" s="5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5"/>
      <c r="H486" s="5"/>
      <c r="I486" s="5"/>
      <c r="J486" s="5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5"/>
      <c r="H487" s="5"/>
      <c r="I487" s="5"/>
      <c r="J487" s="5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5"/>
      <c r="H488" s="5"/>
      <c r="I488" s="5"/>
      <c r="J488" s="5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5"/>
      <c r="H489" s="5"/>
      <c r="I489" s="5"/>
      <c r="J489" s="5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5"/>
      <c r="H490" s="5"/>
      <c r="I490" s="5"/>
      <c r="J490" s="5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5"/>
      <c r="H491" s="5"/>
      <c r="I491" s="5"/>
      <c r="J491" s="5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5"/>
      <c r="H492" s="5"/>
      <c r="I492" s="5"/>
      <c r="J492" s="5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5"/>
      <c r="H493" s="5"/>
      <c r="I493" s="5"/>
      <c r="J493" s="5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5"/>
      <c r="H494" s="5"/>
      <c r="I494" s="5"/>
      <c r="J494" s="5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5"/>
      <c r="H495" s="5"/>
      <c r="I495" s="5"/>
      <c r="J495" s="5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5"/>
      <c r="H496" s="5"/>
      <c r="I496" s="5"/>
      <c r="J496" s="5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5"/>
      <c r="H497" s="5"/>
      <c r="I497" s="5"/>
      <c r="J497" s="5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5"/>
      <c r="H498" s="5"/>
      <c r="I498" s="5"/>
      <c r="J498" s="5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5"/>
      <c r="H499" s="5"/>
      <c r="I499" s="5"/>
      <c r="J499" s="5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5"/>
      <c r="H500" s="5"/>
      <c r="I500" s="5"/>
      <c r="J500" s="5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5"/>
      <c r="H501" s="5"/>
      <c r="I501" s="5"/>
      <c r="J501" s="5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5"/>
      <c r="H502" s="5"/>
      <c r="I502" s="5"/>
      <c r="J502" s="5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5"/>
      <c r="H503" s="5"/>
      <c r="I503" s="5"/>
      <c r="J503" s="5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5"/>
      <c r="H504" s="5"/>
      <c r="I504" s="5"/>
      <c r="J504" s="5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5"/>
      <c r="H505" s="5"/>
      <c r="I505" s="5"/>
      <c r="J505" s="5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5"/>
      <c r="H506" s="5"/>
      <c r="I506" s="5"/>
      <c r="J506" s="5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5"/>
      <c r="H507" s="5"/>
      <c r="I507" s="5"/>
      <c r="J507" s="5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5"/>
      <c r="H508" s="5"/>
      <c r="I508" s="5"/>
      <c r="J508" s="5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5"/>
      <c r="H509" s="5"/>
      <c r="I509" s="5"/>
      <c r="J509" s="5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5"/>
      <c r="H510" s="5"/>
      <c r="I510" s="5"/>
      <c r="J510" s="5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5"/>
      <c r="H511" s="5"/>
      <c r="I511" s="5"/>
      <c r="J511" s="5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5"/>
      <c r="H512" s="5"/>
      <c r="I512" s="5"/>
      <c r="J512" s="5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5"/>
      <c r="H513" s="5"/>
      <c r="I513" s="5"/>
      <c r="J513" s="5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5"/>
      <c r="H514" s="5"/>
      <c r="I514" s="5"/>
      <c r="J514" s="5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5"/>
      <c r="H515" s="5"/>
      <c r="I515" s="5"/>
      <c r="J515" s="5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5"/>
      <c r="H516" s="5"/>
      <c r="I516" s="5"/>
      <c r="J516" s="5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5"/>
      <c r="H517" s="5"/>
      <c r="I517" s="5"/>
      <c r="J517" s="5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5"/>
      <c r="H518" s="5"/>
      <c r="I518" s="5"/>
      <c r="J518" s="5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5"/>
      <c r="H519" s="5"/>
      <c r="I519" s="5"/>
      <c r="J519" s="5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5"/>
      <c r="H520" s="5"/>
      <c r="I520" s="5"/>
      <c r="J520" s="5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5"/>
      <c r="H521" s="5"/>
      <c r="I521" s="5"/>
      <c r="J521" s="5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5"/>
      <c r="H522" s="5"/>
      <c r="I522" s="5"/>
      <c r="J522" s="5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5"/>
      <c r="H523" s="5"/>
      <c r="I523" s="5"/>
      <c r="J523" s="5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5"/>
      <c r="H524" s="5"/>
      <c r="I524" s="5"/>
      <c r="J524" s="5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5"/>
      <c r="H525" s="5"/>
      <c r="I525" s="5"/>
      <c r="J525" s="5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5"/>
      <c r="H526" s="5"/>
      <c r="I526" s="5"/>
      <c r="J526" s="5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5"/>
      <c r="H527" s="5"/>
      <c r="I527" s="5"/>
      <c r="J527" s="5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5"/>
      <c r="H528" s="5"/>
      <c r="I528" s="5"/>
      <c r="J528" s="5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5"/>
      <c r="H529" s="5"/>
      <c r="I529" s="5"/>
      <c r="J529" s="5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5"/>
      <c r="H530" s="5"/>
      <c r="I530" s="5"/>
      <c r="J530" s="5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5"/>
      <c r="H531" s="5"/>
      <c r="I531" s="5"/>
      <c r="J531" s="5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5"/>
      <c r="H532" s="5"/>
      <c r="I532" s="5"/>
      <c r="J532" s="5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5"/>
      <c r="H533" s="5"/>
      <c r="I533" s="5"/>
      <c r="J533" s="5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5"/>
      <c r="H534" s="5"/>
      <c r="I534" s="5"/>
      <c r="J534" s="5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5"/>
      <c r="H535" s="5"/>
      <c r="I535" s="5"/>
      <c r="J535" s="5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5"/>
      <c r="H536" s="5"/>
      <c r="I536" s="5"/>
      <c r="J536" s="5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5"/>
      <c r="H537" s="5"/>
      <c r="I537" s="5"/>
      <c r="J537" s="5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5"/>
      <c r="H538" s="5"/>
      <c r="I538" s="5"/>
      <c r="J538" s="5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5"/>
      <c r="H539" s="5"/>
      <c r="I539" s="5"/>
      <c r="J539" s="5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5"/>
      <c r="H540" s="5"/>
      <c r="I540" s="5"/>
      <c r="J540" s="5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5"/>
      <c r="H541" s="5"/>
      <c r="I541" s="5"/>
      <c r="J541" s="5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5"/>
      <c r="H542" s="5"/>
      <c r="I542" s="5"/>
      <c r="J542" s="5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5"/>
      <c r="H543" s="5"/>
      <c r="I543" s="5"/>
      <c r="J543" s="5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5"/>
      <c r="H544" s="5"/>
      <c r="I544" s="5"/>
      <c r="J544" s="5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5"/>
      <c r="H545" s="5"/>
      <c r="I545" s="5"/>
      <c r="J545" s="5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5"/>
      <c r="H546" s="5"/>
      <c r="I546" s="5"/>
      <c r="J546" s="5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5"/>
      <c r="H547" s="5"/>
      <c r="I547" s="5"/>
      <c r="J547" s="5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5"/>
      <c r="H548" s="5"/>
      <c r="I548" s="5"/>
      <c r="J548" s="5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5"/>
      <c r="H549" s="5"/>
      <c r="I549" s="5"/>
      <c r="J549" s="5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5"/>
      <c r="H550" s="5"/>
      <c r="I550" s="5"/>
      <c r="J550" s="5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5"/>
      <c r="H551" s="5"/>
      <c r="I551" s="5"/>
      <c r="J551" s="5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5"/>
      <c r="H552" s="5"/>
      <c r="I552" s="5"/>
      <c r="J552" s="5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5"/>
      <c r="H553" s="5"/>
      <c r="I553" s="5"/>
      <c r="J553" s="5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5"/>
      <c r="H554" s="5"/>
      <c r="I554" s="5"/>
      <c r="J554" s="5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5"/>
      <c r="H555" s="5"/>
      <c r="I555" s="5"/>
      <c r="J555" s="5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5"/>
      <c r="H556" s="5"/>
      <c r="I556" s="5"/>
      <c r="J556" s="5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5"/>
      <c r="H557" s="5"/>
      <c r="I557" s="5"/>
      <c r="J557" s="5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5"/>
      <c r="H558" s="5"/>
      <c r="I558" s="5"/>
      <c r="J558" s="5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5"/>
      <c r="H559" s="5"/>
      <c r="I559" s="5"/>
      <c r="J559" s="5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5"/>
      <c r="H560" s="5"/>
      <c r="I560" s="5"/>
      <c r="J560" s="5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5"/>
      <c r="H561" s="5"/>
      <c r="I561" s="5"/>
      <c r="J561" s="5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5"/>
      <c r="H562" s="5"/>
      <c r="I562" s="5"/>
      <c r="J562" s="5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5"/>
      <c r="H563" s="5"/>
      <c r="I563" s="5"/>
      <c r="J563" s="5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5"/>
      <c r="H564" s="5"/>
      <c r="I564" s="5"/>
      <c r="J564" s="5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5"/>
      <c r="H565" s="5"/>
      <c r="I565" s="5"/>
      <c r="J565" s="5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5"/>
      <c r="H566" s="5"/>
      <c r="I566" s="5"/>
      <c r="J566" s="5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5"/>
      <c r="H567" s="5"/>
      <c r="I567" s="5"/>
      <c r="J567" s="5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5"/>
      <c r="H568" s="5"/>
      <c r="I568" s="5"/>
      <c r="J568" s="5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5"/>
      <c r="H569" s="5"/>
      <c r="I569" s="5"/>
      <c r="J569" s="5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5"/>
      <c r="H570" s="5"/>
      <c r="I570" s="5"/>
      <c r="J570" s="5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5"/>
      <c r="H571" s="5"/>
      <c r="I571" s="5"/>
      <c r="J571" s="5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5"/>
      <c r="H572" s="5"/>
      <c r="I572" s="5"/>
      <c r="J572" s="5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5"/>
      <c r="H573" s="5"/>
      <c r="I573" s="5"/>
      <c r="J573" s="5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5"/>
      <c r="H574" s="5"/>
      <c r="I574" s="5"/>
      <c r="J574" s="5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5"/>
      <c r="H575" s="5"/>
      <c r="I575" s="5"/>
      <c r="J575" s="5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5"/>
      <c r="H576" s="5"/>
      <c r="I576" s="5"/>
      <c r="J576" s="5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5"/>
      <c r="H577" s="5"/>
      <c r="I577" s="5"/>
      <c r="J577" s="5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5"/>
      <c r="H578" s="5"/>
      <c r="I578" s="5"/>
      <c r="J578" s="5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5"/>
      <c r="H579" s="5"/>
      <c r="I579" s="5"/>
      <c r="J579" s="5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5"/>
      <c r="H580" s="5"/>
      <c r="I580" s="5"/>
      <c r="J580" s="5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5"/>
      <c r="H581" s="5"/>
      <c r="I581" s="5"/>
      <c r="J581" s="5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5"/>
      <c r="H582" s="5"/>
      <c r="I582" s="5"/>
      <c r="J582" s="5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5"/>
      <c r="H583" s="5"/>
      <c r="I583" s="5"/>
      <c r="J583" s="5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5"/>
      <c r="H584" s="5"/>
      <c r="I584" s="5"/>
      <c r="J584" s="5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5"/>
      <c r="H585" s="5"/>
      <c r="I585" s="5"/>
      <c r="J585" s="5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5"/>
      <c r="H586" s="5"/>
      <c r="I586" s="5"/>
      <c r="J586" s="5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5"/>
      <c r="H587" s="5"/>
      <c r="I587" s="5"/>
      <c r="J587" s="5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5"/>
      <c r="H588" s="5"/>
      <c r="I588" s="5"/>
      <c r="J588" s="5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5"/>
      <c r="H589" s="5"/>
      <c r="I589" s="5"/>
      <c r="J589" s="5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5"/>
      <c r="H590" s="5"/>
      <c r="I590" s="5"/>
      <c r="J590" s="5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5"/>
      <c r="H591" s="5"/>
      <c r="I591" s="5"/>
      <c r="J591" s="5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5"/>
      <c r="H592" s="5"/>
      <c r="I592" s="5"/>
      <c r="J592" s="5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5"/>
      <c r="H593" s="5"/>
      <c r="I593" s="5"/>
      <c r="J593" s="5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5"/>
      <c r="H594" s="5"/>
      <c r="I594" s="5"/>
      <c r="J594" s="5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5"/>
      <c r="H595" s="5"/>
      <c r="I595" s="5"/>
      <c r="J595" s="5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5"/>
      <c r="H596" s="5"/>
      <c r="I596" s="5"/>
      <c r="J596" s="5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5"/>
      <c r="H597" s="5"/>
      <c r="I597" s="5"/>
      <c r="J597" s="5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5"/>
      <c r="H598" s="5"/>
      <c r="I598" s="5"/>
      <c r="J598" s="5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5"/>
      <c r="H599" s="5"/>
      <c r="I599" s="5"/>
      <c r="J599" s="5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5"/>
      <c r="H600" s="5"/>
      <c r="I600" s="5"/>
      <c r="J600" s="5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5"/>
      <c r="H601" s="5"/>
      <c r="I601" s="5"/>
      <c r="J601" s="5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5"/>
      <c r="H602" s="5"/>
      <c r="I602" s="5"/>
      <c r="J602" s="5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5"/>
      <c r="H603" s="5"/>
      <c r="I603" s="5"/>
      <c r="J603" s="5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5"/>
      <c r="H604" s="5"/>
      <c r="I604" s="5"/>
      <c r="J604" s="5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5"/>
      <c r="H605" s="5"/>
      <c r="I605" s="5"/>
      <c r="J605" s="5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5"/>
      <c r="H606" s="5"/>
      <c r="I606" s="5"/>
      <c r="J606" s="5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5"/>
      <c r="H607" s="5"/>
      <c r="I607" s="5"/>
      <c r="J607" s="5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5"/>
      <c r="H608" s="5"/>
      <c r="I608" s="5"/>
      <c r="J608" s="5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5"/>
      <c r="H609" s="5"/>
      <c r="I609" s="5"/>
      <c r="J609" s="5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5"/>
      <c r="H610" s="5"/>
      <c r="I610" s="5"/>
      <c r="J610" s="5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5"/>
      <c r="H611" s="5"/>
      <c r="I611" s="5"/>
      <c r="J611" s="5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5"/>
      <c r="H612" s="5"/>
      <c r="I612" s="5"/>
      <c r="J612" s="5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5"/>
      <c r="H613" s="5"/>
      <c r="I613" s="5"/>
      <c r="J613" s="5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5"/>
      <c r="H614" s="5"/>
      <c r="I614" s="5"/>
      <c r="J614" s="5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5"/>
      <c r="H615" s="5"/>
      <c r="I615" s="5"/>
      <c r="J615" s="5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5"/>
      <c r="H616" s="5"/>
      <c r="I616" s="5"/>
      <c r="J616" s="5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5"/>
      <c r="H617" s="5"/>
      <c r="I617" s="5"/>
      <c r="J617" s="5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5"/>
      <c r="H618" s="5"/>
      <c r="I618" s="5"/>
      <c r="J618" s="5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5"/>
      <c r="H619" s="5"/>
      <c r="I619" s="5"/>
      <c r="J619" s="5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5"/>
      <c r="H620" s="5"/>
      <c r="I620" s="5"/>
      <c r="J620" s="5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5"/>
      <c r="H621" s="5"/>
      <c r="I621" s="5"/>
      <c r="J621" s="5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5"/>
      <c r="H622" s="5"/>
      <c r="I622" s="5"/>
      <c r="J622" s="5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5"/>
      <c r="H623" s="5"/>
      <c r="I623" s="5"/>
      <c r="J623" s="5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5"/>
      <c r="H624" s="5"/>
      <c r="I624" s="5"/>
      <c r="J624" s="5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5"/>
      <c r="H625" s="5"/>
      <c r="I625" s="5"/>
      <c r="J625" s="5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5"/>
      <c r="H626" s="5"/>
      <c r="I626" s="5"/>
      <c r="J626" s="5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5"/>
      <c r="H627" s="5"/>
      <c r="I627" s="5"/>
      <c r="J627" s="5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5"/>
      <c r="H628" s="5"/>
      <c r="I628" s="5"/>
      <c r="J628" s="5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5"/>
      <c r="H629" s="5"/>
      <c r="I629" s="5"/>
      <c r="J629" s="5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5"/>
      <c r="H630" s="5"/>
      <c r="I630" s="5"/>
      <c r="J630" s="5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5"/>
      <c r="H631" s="5"/>
      <c r="I631" s="5"/>
      <c r="J631" s="5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5"/>
      <c r="H632" s="5"/>
      <c r="I632" s="5"/>
      <c r="J632" s="5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5"/>
      <c r="H633" s="5"/>
      <c r="I633" s="5"/>
      <c r="J633" s="5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5"/>
      <c r="H634" s="5"/>
      <c r="I634" s="5"/>
      <c r="J634" s="5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5"/>
      <c r="H635" s="5"/>
      <c r="I635" s="5"/>
      <c r="J635" s="5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5"/>
      <c r="H636" s="5"/>
      <c r="I636" s="5"/>
      <c r="J636" s="5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5"/>
      <c r="H637" s="5"/>
      <c r="I637" s="5"/>
      <c r="J637" s="5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5"/>
      <c r="H638" s="5"/>
      <c r="I638" s="5"/>
      <c r="J638" s="5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5"/>
      <c r="H639" s="5"/>
      <c r="I639" s="5"/>
      <c r="J639" s="5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5"/>
      <c r="H640" s="5"/>
      <c r="I640" s="5"/>
      <c r="J640" s="5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5"/>
      <c r="H641" s="5"/>
      <c r="I641" s="5"/>
      <c r="J641" s="5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5"/>
      <c r="H642" s="5"/>
      <c r="I642" s="5"/>
      <c r="J642" s="5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5"/>
      <c r="H643" s="5"/>
      <c r="I643" s="5"/>
      <c r="J643" s="5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5"/>
      <c r="H644" s="5"/>
      <c r="I644" s="5"/>
      <c r="J644" s="5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5"/>
      <c r="H645" s="5"/>
      <c r="I645" s="5"/>
      <c r="J645" s="5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5"/>
      <c r="H646" s="5"/>
      <c r="I646" s="5"/>
      <c r="J646" s="5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5"/>
      <c r="H647" s="5"/>
      <c r="I647" s="5"/>
      <c r="J647" s="5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5"/>
      <c r="H648" s="5"/>
      <c r="I648" s="5"/>
      <c r="J648" s="5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5"/>
      <c r="H649" s="5"/>
      <c r="I649" s="5"/>
      <c r="J649" s="5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5"/>
      <c r="H650" s="5"/>
      <c r="I650" s="5"/>
      <c r="J650" s="5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5"/>
      <c r="H651" s="5"/>
      <c r="I651" s="5"/>
      <c r="J651" s="5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5"/>
      <c r="H652" s="5"/>
      <c r="I652" s="5"/>
      <c r="J652" s="5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5"/>
      <c r="H653" s="5"/>
      <c r="I653" s="5"/>
      <c r="J653" s="5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5"/>
      <c r="H654" s="5"/>
      <c r="I654" s="5"/>
      <c r="J654" s="5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5"/>
      <c r="H655" s="5"/>
      <c r="I655" s="5"/>
      <c r="J655" s="5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5"/>
      <c r="H656" s="5"/>
      <c r="I656" s="5"/>
      <c r="J656" s="5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5"/>
      <c r="H657" s="5"/>
      <c r="I657" s="5"/>
      <c r="J657" s="5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5"/>
      <c r="H658" s="5"/>
      <c r="I658" s="5"/>
      <c r="J658" s="5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5"/>
      <c r="H659" s="5"/>
      <c r="I659" s="5"/>
      <c r="J659" s="5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5"/>
      <c r="H660" s="5"/>
      <c r="I660" s="5"/>
      <c r="J660" s="5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5"/>
      <c r="H661" s="5"/>
      <c r="I661" s="5"/>
      <c r="J661" s="5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5"/>
      <c r="H662" s="5"/>
      <c r="I662" s="5"/>
      <c r="J662" s="5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5"/>
      <c r="H663" s="5"/>
      <c r="I663" s="5"/>
      <c r="J663" s="5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5"/>
      <c r="H664" s="5"/>
      <c r="I664" s="5"/>
      <c r="J664" s="5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5"/>
      <c r="H665" s="5"/>
      <c r="I665" s="5"/>
      <c r="J665" s="5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5"/>
      <c r="H666" s="5"/>
      <c r="I666" s="5"/>
      <c r="J666" s="5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5"/>
      <c r="H667" s="5"/>
      <c r="I667" s="5"/>
      <c r="J667" s="5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5"/>
      <c r="H668" s="5"/>
      <c r="I668" s="5"/>
      <c r="J668" s="5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5"/>
      <c r="H669" s="5"/>
      <c r="I669" s="5"/>
      <c r="J669" s="5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5"/>
      <c r="H670" s="5"/>
      <c r="I670" s="5"/>
      <c r="J670" s="5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5"/>
      <c r="H671" s="5"/>
      <c r="I671" s="5"/>
      <c r="J671" s="5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5"/>
      <c r="H672" s="5"/>
      <c r="I672" s="5"/>
      <c r="J672" s="5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5"/>
      <c r="H673" s="5"/>
      <c r="I673" s="5"/>
      <c r="J673" s="5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5"/>
      <c r="H674" s="5"/>
      <c r="I674" s="5"/>
      <c r="J674" s="5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5"/>
      <c r="H675" s="5"/>
      <c r="I675" s="5"/>
      <c r="J675" s="5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5"/>
      <c r="H676" s="5"/>
      <c r="I676" s="5"/>
      <c r="J676" s="5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5"/>
      <c r="H677" s="5"/>
      <c r="I677" s="5"/>
      <c r="J677" s="5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5"/>
      <c r="H678" s="5"/>
      <c r="I678" s="5"/>
      <c r="J678" s="5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5"/>
      <c r="H679" s="5"/>
      <c r="I679" s="5"/>
      <c r="J679" s="5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5"/>
      <c r="H680" s="5"/>
      <c r="I680" s="5"/>
      <c r="J680" s="5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5"/>
      <c r="H681" s="5"/>
      <c r="I681" s="5"/>
      <c r="J681" s="5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5"/>
      <c r="H682" s="5"/>
      <c r="I682" s="5"/>
      <c r="J682" s="5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5"/>
      <c r="H683" s="5"/>
      <c r="I683" s="5"/>
      <c r="J683" s="5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5"/>
      <c r="H684" s="5"/>
      <c r="I684" s="5"/>
      <c r="J684" s="5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5"/>
      <c r="H685" s="5"/>
      <c r="I685" s="5"/>
      <c r="J685" s="5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5"/>
      <c r="H686" s="5"/>
      <c r="I686" s="5"/>
      <c r="J686" s="5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5"/>
      <c r="H687" s="5"/>
      <c r="I687" s="5"/>
      <c r="J687" s="5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5"/>
      <c r="H688" s="5"/>
      <c r="I688" s="5"/>
      <c r="J688" s="5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5"/>
      <c r="H689" s="5"/>
      <c r="I689" s="5"/>
      <c r="J689" s="5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5"/>
      <c r="H690" s="5"/>
      <c r="I690" s="5"/>
      <c r="J690" s="5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5"/>
      <c r="H691" s="5"/>
      <c r="I691" s="5"/>
      <c r="J691" s="5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5"/>
      <c r="H692" s="5"/>
      <c r="I692" s="5"/>
      <c r="J692" s="5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5"/>
      <c r="H693" s="5"/>
      <c r="I693" s="5"/>
      <c r="J693" s="5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5"/>
      <c r="H694" s="5"/>
      <c r="I694" s="5"/>
      <c r="J694" s="5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5"/>
      <c r="H695" s="5"/>
      <c r="I695" s="5"/>
      <c r="J695" s="5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5"/>
      <c r="H696" s="5"/>
      <c r="I696" s="5"/>
      <c r="J696" s="5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5"/>
      <c r="H697" s="5"/>
      <c r="I697" s="5"/>
      <c r="J697" s="5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5"/>
      <c r="H698" s="5"/>
      <c r="I698" s="5"/>
      <c r="J698" s="5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5"/>
      <c r="H699" s="5"/>
      <c r="I699" s="5"/>
      <c r="J699" s="5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5"/>
      <c r="H700" s="5"/>
      <c r="I700" s="5"/>
      <c r="J700" s="5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5"/>
      <c r="H701" s="5"/>
      <c r="I701" s="5"/>
      <c r="J701" s="5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5"/>
      <c r="H702" s="5"/>
      <c r="I702" s="5"/>
      <c r="J702" s="5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5"/>
      <c r="H703" s="5"/>
      <c r="I703" s="5"/>
      <c r="J703" s="5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5"/>
      <c r="H704" s="5"/>
      <c r="I704" s="5"/>
      <c r="J704" s="5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5"/>
      <c r="H705" s="5"/>
      <c r="I705" s="5"/>
      <c r="J705" s="5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5"/>
      <c r="H706" s="5"/>
      <c r="I706" s="5"/>
      <c r="J706" s="5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5"/>
      <c r="H707" s="5"/>
      <c r="I707" s="5"/>
      <c r="J707" s="5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5"/>
      <c r="H708" s="5"/>
      <c r="I708" s="5"/>
      <c r="J708" s="5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5"/>
      <c r="H709" s="5"/>
      <c r="I709" s="5"/>
      <c r="J709" s="5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5"/>
      <c r="H710" s="5"/>
      <c r="I710" s="5"/>
      <c r="J710" s="5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5"/>
      <c r="H711" s="5"/>
      <c r="I711" s="5"/>
      <c r="J711" s="5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5"/>
      <c r="H712" s="5"/>
      <c r="I712" s="5"/>
      <c r="J712" s="5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5"/>
      <c r="H713" s="5"/>
      <c r="I713" s="5"/>
      <c r="J713" s="5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5"/>
      <c r="H714" s="5"/>
      <c r="I714" s="5"/>
      <c r="J714" s="5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5"/>
      <c r="H715" s="5"/>
      <c r="I715" s="5"/>
      <c r="J715" s="5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5"/>
      <c r="H716" s="5"/>
      <c r="I716" s="5"/>
      <c r="J716" s="5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5"/>
      <c r="H717" s="5"/>
      <c r="I717" s="5"/>
      <c r="J717" s="5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5"/>
      <c r="H718" s="5"/>
      <c r="I718" s="5"/>
      <c r="J718" s="5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5"/>
      <c r="H719" s="5"/>
      <c r="I719" s="5"/>
      <c r="J719" s="5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5"/>
      <c r="H720" s="5"/>
      <c r="I720" s="5"/>
      <c r="J720" s="5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5"/>
      <c r="H721" s="5"/>
      <c r="I721" s="5"/>
      <c r="J721" s="5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5"/>
      <c r="H722" s="5"/>
      <c r="I722" s="5"/>
      <c r="J722" s="5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5"/>
      <c r="H723" s="5"/>
      <c r="I723" s="5"/>
      <c r="J723" s="5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5"/>
      <c r="H724" s="5"/>
      <c r="I724" s="5"/>
      <c r="J724" s="5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5"/>
      <c r="H725" s="5"/>
      <c r="I725" s="5"/>
      <c r="J725" s="5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5"/>
      <c r="H726" s="5"/>
      <c r="I726" s="5"/>
      <c r="J726" s="5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5"/>
      <c r="H727" s="5"/>
      <c r="I727" s="5"/>
      <c r="J727" s="5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5"/>
      <c r="H728" s="5"/>
      <c r="I728" s="5"/>
      <c r="J728" s="5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5"/>
      <c r="H729" s="5"/>
      <c r="I729" s="5"/>
      <c r="J729" s="5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5"/>
      <c r="H730" s="5"/>
      <c r="I730" s="5"/>
      <c r="J730" s="5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5"/>
      <c r="H731" s="5"/>
      <c r="I731" s="5"/>
      <c r="J731" s="5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5"/>
      <c r="H732" s="5"/>
      <c r="I732" s="5"/>
      <c r="J732" s="5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5"/>
      <c r="H733" s="5"/>
      <c r="I733" s="5"/>
      <c r="J733" s="5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5"/>
      <c r="H734" s="5"/>
      <c r="I734" s="5"/>
      <c r="J734" s="5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5"/>
      <c r="H735" s="5"/>
      <c r="I735" s="5"/>
      <c r="J735" s="5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5"/>
      <c r="H736" s="5"/>
      <c r="I736" s="5"/>
      <c r="J736" s="5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5"/>
      <c r="H737" s="5"/>
      <c r="I737" s="5"/>
      <c r="J737" s="5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5"/>
      <c r="H738" s="5"/>
      <c r="I738" s="5"/>
      <c r="J738" s="5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5"/>
      <c r="H739" s="5"/>
      <c r="I739" s="5"/>
      <c r="J739" s="5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5"/>
      <c r="H740" s="5"/>
      <c r="I740" s="5"/>
      <c r="J740" s="5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5"/>
      <c r="H741" s="5"/>
      <c r="I741" s="5"/>
      <c r="J741" s="5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5"/>
      <c r="H742" s="5"/>
      <c r="I742" s="5"/>
      <c r="J742" s="5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5"/>
      <c r="H743" s="5"/>
      <c r="I743" s="5"/>
      <c r="J743" s="5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5"/>
      <c r="H744" s="5"/>
      <c r="I744" s="5"/>
      <c r="J744" s="5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5"/>
      <c r="H745" s="5"/>
      <c r="I745" s="5"/>
      <c r="J745" s="5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5"/>
      <c r="H746" s="5"/>
      <c r="I746" s="5"/>
      <c r="J746" s="5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5"/>
      <c r="H747" s="5"/>
      <c r="I747" s="5"/>
      <c r="J747" s="5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5"/>
      <c r="H748" s="5"/>
      <c r="I748" s="5"/>
      <c r="J748" s="5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5"/>
      <c r="H749" s="5"/>
      <c r="I749" s="5"/>
      <c r="J749" s="5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5"/>
      <c r="H750" s="5"/>
      <c r="I750" s="5"/>
      <c r="J750" s="5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5"/>
      <c r="H751" s="5"/>
      <c r="I751" s="5"/>
      <c r="J751" s="5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5"/>
      <c r="H752" s="5"/>
      <c r="I752" s="5"/>
      <c r="J752" s="5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5"/>
      <c r="H753" s="5"/>
      <c r="I753" s="5"/>
      <c r="J753" s="5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5"/>
      <c r="H754" s="5"/>
      <c r="I754" s="5"/>
      <c r="J754" s="5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5"/>
      <c r="H755" s="5"/>
      <c r="I755" s="5"/>
      <c r="J755" s="5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5"/>
      <c r="H756" s="5"/>
      <c r="I756" s="5"/>
      <c r="J756" s="5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5"/>
      <c r="H757" s="5"/>
      <c r="I757" s="5"/>
      <c r="J757" s="5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5"/>
      <c r="H758" s="5"/>
      <c r="I758" s="5"/>
      <c r="J758" s="5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5"/>
      <c r="H759" s="5"/>
      <c r="I759" s="5"/>
      <c r="J759" s="5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5"/>
      <c r="H760" s="5"/>
      <c r="I760" s="5"/>
      <c r="J760" s="5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5"/>
      <c r="H761" s="5"/>
      <c r="I761" s="5"/>
      <c r="J761" s="5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5"/>
      <c r="H762" s="5"/>
      <c r="I762" s="5"/>
      <c r="J762" s="5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5"/>
      <c r="H763" s="5"/>
      <c r="I763" s="5"/>
      <c r="J763" s="5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5"/>
      <c r="H764" s="5"/>
      <c r="I764" s="5"/>
      <c r="J764" s="5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5"/>
      <c r="H765" s="5"/>
      <c r="I765" s="5"/>
      <c r="J765" s="5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5"/>
      <c r="H766" s="5"/>
      <c r="I766" s="5"/>
      <c r="J766" s="5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5"/>
      <c r="H767" s="5"/>
      <c r="I767" s="5"/>
      <c r="J767" s="5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5"/>
      <c r="H768" s="5"/>
      <c r="I768" s="5"/>
      <c r="J768" s="5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5"/>
      <c r="H769" s="5"/>
      <c r="I769" s="5"/>
      <c r="J769" s="5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5"/>
      <c r="H770" s="5"/>
      <c r="I770" s="5"/>
      <c r="J770" s="5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5"/>
      <c r="H771" s="5"/>
      <c r="I771" s="5"/>
      <c r="J771" s="5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5"/>
      <c r="H772" s="5"/>
      <c r="I772" s="5"/>
      <c r="J772" s="5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5"/>
      <c r="H773" s="5"/>
      <c r="I773" s="5"/>
      <c r="J773" s="5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5"/>
      <c r="H774" s="5"/>
      <c r="I774" s="5"/>
      <c r="J774" s="5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5"/>
      <c r="H775" s="5"/>
      <c r="I775" s="5"/>
      <c r="J775" s="5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5"/>
      <c r="H776" s="5"/>
      <c r="I776" s="5"/>
      <c r="J776" s="5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5"/>
      <c r="H777" s="5"/>
      <c r="I777" s="5"/>
      <c r="J777" s="5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5"/>
      <c r="H778" s="5"/>
      <c r="I778" s="5"/>
      <c r="J778" s="5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5"/>
      <c r="H779" s="5"/>
      <c r="I779" s="5"/>
      <c r="J779" s="5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5"/>
      <c r="H780" s="5"/>
      <c r="I780" s="5"/>
      <c r="J780" s="5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5"/>
      <c r="H781" s="5"/>
      <c r="I781" s="5"/>
      <c r="J781" s="5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5"/>
      <c r="H782" s="5"/>
      <c r="I782" s="5"/>
      <c r="J782" s="5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5"/>
      <c r="H783" s="5"/>
      <c r="I783" s="5"/>
      <c r="J783" s="5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5"/>
      <c r="H784" s="5"/>
      <c r="I784" s="5"/>
      <c r="J784" s="5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5"/>
      <c r="H785" s="5"/>
      <c r="I785" s="5"/>
      <c r="J785" s="5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5"/>
      <c r="H786" s="5"/>
      <c r="I786" s="5"/>
      <c r="J786" s="5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5"/>
      <c r="H787" s="5"/>
      <c r="I787" s="5"/>
      <c r="J787" s="5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5"/>
      <c r="H788" s="5"/>
      <c r="I788" s="5"/>
      <c r="J788" s="5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5"/>
      <c r="H789" s="5"/>
      <c r="I789" s="5"/>
      <c r="J789" s="5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5"/>
      <c r="H790" s="5"/>
      <c r="I790" s="5"/>
      <c r="J790" s="5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5"/>
      <c r="H791" s="5"/>
      <c r="I791" s="5"/>
      <c r="J791" s="5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5"/>
      <c r="H792" s="5"/>
      <c r="I792" s="5"/>
      <c r="J792" s="5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5"/>
      <c r="H793" s="5"/>
      <c r="I793" s="5"/>
      <c r="J793" s="5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5"/>
      <c r="H794" s="5"/>
      <c r="I794" s="5"/>
      <c r="J794" s="5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5"/>
      <c r="H795" s="5"/>
      <c r="I795" s="5"/>
      <c r="J795" s="5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5"/>
      <c r="H796" s="5"/>
      <c r="I796" s="5"/>
      <c r="J796" s="5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5"/>
      <c r="H797" s="5"/>
      <c r="I797" s="5"/>
      <c r="J797" s="5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5"/>
      <c r="H798" s="5"/>
      <c r="I798" s="5"/>
      <c r="J798" s="5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5"/>
      <c r="H799" s="5"/>
      <c r="I799" s="5"/>
      <c r="J799" s="5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5"/>
      <c r="H800" s="5"/>
      <c r="I800" s="5"/>
      <c r="J800" s="5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5"/>
      <c r="H801" s="5"/>
      <c r="I801" s="5"/>
      <c r="J801" s="5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5"/>
      <c r="H802" s="5"/>
      <c r="I802" s="5"/>
      <c r="J802" s="5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5"/>
      <c r="H803" s="5"/>
      <c r="I803" s="5"/>
      <c r="J803" s="5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5"/>
      <c r="H804" s="5"/>
      <c r="I804" s="5"/>
      <c r="J804" s="5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5"/>
      <c r="H805" s="5"/>
      <c r="I805" s="5"/>
      <c r="J805" s="5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5"/>
      <c r="H806" s="5"/>
      <c r="I806" s="5"/>
      <c r="J806" s="5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5"/>
      <c r="H807" s="5"/>
      <c r="I807" s="5"/>
      <c r="J807" s="5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5"/>
      <c r="H808" s="5"/>
      <c r="I808" s="5"/>
      <c r="J808" s="5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5"/>
      <c r="H809" s="5"/>
      <c r="I809" s="5"/>
      <c r="J809" s="5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5"/>
      <c r="H810" s="5"/>
      <c r="I810" s="5"/>
      <c r="J810" s="5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5"/>
      <c r="H811" s="5"/>
      <c r="I811" s="5"/>
      <c r="J811" s="5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5"/>
      <c r="H812" s="5"/>
      <c r="I812" s="5"/>
      <c r="J812" s="5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5"/>
      <c r="H813" s="5"/>
      <c r="I813" s="5"/>
      <c r="J813" s="5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5"/>
      <c r="H814" s="5"/>
      <c r="I814" s="5"/>
      <c r="J814" s="5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5"/>
      <c r="H815" s="5"/>
      <c r="I815" s="5"/>
      <c r="J815" s="5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5"/>
      <c r="H816" s="5"/>
      <c r="I816" s="5"/>
      <c r="J816" s="5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5"/>
      <c r="H817" s="5"/>
      <c r="I817" s="5"/>
      <c r="J817" s="5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5"/>
      <c r="H818" s="5"/>
      <c r="I818" s="5"/>
      <c r="J818" s="5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5"/>
      <c r="H819" s="5"/>
      <c r="I819" s="5"/>
      <c r="J819" s="5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5"/>
      <c r="H820" s="5"/>
      <c r="I820" s="5"/>
      <c r="J820" s="5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5"/>
      <c r="H821" s="5"/>
      <c r="I821" s="5"/>
      <c r="J821" s="5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5"/>
      <c r="H822" s="5"/>
      <c r="I822" s="5"/>
      <c r="J822" s="5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5"/>
      <c r="H823" s="5"/>
      <c r="I823" s="5"/>
      <c r="J823" s="5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5"/>
      <c r="H824" s="5"/>
      <c r="I824" s="5"/>
      <c r="J824" s="5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5"/>
      <c r="H825" s="5"/>
      <c r="I825" s="5"/>
      <c r="J825" s="5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5"/>
      <c r="H826" s="5"/>
      <c r="I826" s="5"/>
      <c r="J826" s="5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5"/>
      <c r="H827" s="5"/>
      <c r="I827" s="5"/>
      <c r="J827" s="5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5"/>
      <c r="H828" s="5"/>
      <c r="I828" s="5"/>
      <c r="J828" s="5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5"/>
      <c r="H829" s="5"/>
      <c r="I829" s="5"/>
      <c r="J829" s="5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5"/>
      <c r="H830" s="5"/>
      <c r="I830" s="5"/>
      <c r="J830" s="5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5"/>
      <c r="H831" s="5"/>
      <c r="I831" s="5"/>
      <c r="J831" s="5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5"/>
      <c r="H832" s="5"/>
      <c r="I832" s="5"/>
      <c r="J832" s="5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5"/>
      <c r="H833" s="5"/>
      <c r="I833" s="5"/>
      <c r="J833" s="5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5"/>
      <c r="H834" s="5"/>
      <c r="I834" s="5"/>
      <c r="J834" s="5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5"/>
      <c r="H835" s="5"/>
      <c r="I835" s="5"/>
      <c r="J835" s="5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5"/>
      <c r="H836" s="5"/>
      <c r="I836" s="5"/>
      <c r="J836" s="5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5"/>
      <c r="H837" s="5"/>
      <c r="I837" s="5"/>
      <c r="J837" s="5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5"/>
      <c r="H838" s="5"/>
      <c r="I838" s="5"/>
      <c r="J838" s="5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5"/>
      <c r="H839" s="5"/>
      <c r="I839" s="5"/>
      <c r="J839" s="5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5"/>
      <c r="H840" s="5"/>
      <c r="I840" s="5"/>
      <c r="J840" s="5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5"/>
      <c r="H841" s="5"/>
      <c r="I841" s="5"/>
      <c r="J841" s="5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5"/>
      <c r="H842" s="5"/>
      <c r="I842" s="5"/>
      <c r="J842" s="5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5"/>
      <c r="H843" s="5"/>
      <c r="I843" s="5"/>
      <c r="J843" s="5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5"/>
      <c r="H844" s="5"/>
      <c r="I844" s="5"/>
      <c r="J844" s="5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5"/>
      <c r="H845" s="5"/>
      <c r="I845" s="5"/>
      <c r="J845" s="5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5"/>
      <c r="H846" s="5"/>
      <c r="I846" s="5"/>
      <c r="J846" s="5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5"/>
      <c r="H847" s="5"/>
      <c r="I847" s="5"/>
      <c r="J847" s="5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5"/>
      <c r="H848" s="5"/>
      <c r="I848" s="5"/>
      <c r="J848" s="5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5"/>
      <c r="H849" s="5"/>
      <c r="I849" s="5"/>
      <c r="J849" s="5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5"/>
      <c r="H850" s="5"/>
      <c r="I850" s="5"/>
      <c r="J850" s="5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5"/>
      <c r="H851" s="5"/>
      <c r="I851" s="5"/>
      <c r="J851" s="5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5"/>
      <c r="H852" s="5"/>
      <c r="I852" s="5"/>
      <c r="J852" s="5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5"/>
      <c r="H853" s="5"/>
      <c r="I853" s="5"/>
      <c r="J853" s="5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5"/>
      <c r="H854" s="5"/>
      <c r="I854" s="5"/>
      <c r="J854" s="5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5"/>
      <c r="H855" s="5"/>
      <c r="I855" s="5"/>
      <c r="J855" s="5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5"/>
      <c r="H856" s="5"/>
      <c r="I856" s="5"/>
      <c r="J856" s="5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5"/>
      <c r="H857" s="5"/>
      <c r="I857" s="5"/>
      <c r="J857" s="5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5"/>
      <c r="H858" s="5"/>
      <c r="I858" s="5"/>
      <c r="J858" s="5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5"/>
      <c r="H859" s="5"/>
      <c r="I859" s="5"/>
      <c r="J859" s="5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5"/>
      <c r="H860" s="5"/>
      <c r="I860" s="5"/>
      <c r="J860" s="5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5"/>
      <c r="H861" s="5"/>
      <c r="I861" s="5"/>
      <c r="J861" s="5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5"/>
      <c r="H862" s="5"/>
      <c r="I862" s="5"/>
      <c r="J862" s="5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5"/>
      <c r="H863" s="5"/>
      <c r="I863" s="5"/>
      <c r="J863" s="5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5"/>
      <c r="H864" s="5"/>
      <c r="I864" s="5"/>
      <c r="J864" s="5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5"/>
      <c r="H865" s="5"/>
      <c r="I865" s="5"/>
      <c r="J865" s="5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5"/>
      <c r="H866" s="5"/>
      <c r="I866" s="5"/>
      <c r="J866" s="5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5"/>
      <c r="H867" s="5"/>
      <c r="I867" s="5"/>
      <c r="J867" s="5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5"/>
      <c r="H868" s="5"/>
      <c r="I868" s="5"/>
      <c r="J868" s="5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5"/>
      <c r="H869" s="5"/>
      <c r="I869" s="5"/>
      <c r="J869" s="5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5"/>
      <c r="H870" s="5"/>
      <c r="I870" s="5"/>
      <c r="J870" s="5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5"/>
      <c r="H871" s="5"/>
      <c r="I871" s="5"/>
      <c r="J871" s="5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5"/>
      <c r="H872" s="5"/>
      <c r="I872" s="5"/>
      <c r="J872" s="5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5"/>
      <c r="H873" s="5"/>
      <c r="I873" s="5"/>
      <c r="J873" s="5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5"/>
      <c r="H874" s="5"/>
      <c r="I874" s="5"/>
      <c r="J874" s="5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5"/>
      <c r="H875" s="5"/>
      <c r="I875" s="5"/>
      <c r="J875" s="5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5"/>
      <c r="H876" s="5"/>
      <c r="I876" s="5"/>
      <c r="J876" s="5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5"/>
      <c r="H877" s="5"/>
      <c r="I877" s="5"/>
      <c r="J877" s="5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5"/>
      <c r="H878" s="5"/>
      <c r="I878" s="5"/>
      <c r="J878" s="5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5"/>
      <c r="H879" s="5"/>
      <c r="I879" s="5"/>
      <c r="J879" s="5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5"/>
      <c r="H880" s="5"/>
      <c r="I880" s="5"/>
      <c r="J880" s="5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5"/>
      <c r="H881" s="5"/>
      <c r="I881" s="5"/>
      <c r="J881" s="5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5"/>
      <c r="H882" s="5"/>
      <c r="I882" s="5"/>
      <c r="J882" s="5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5"/>
      <c r="H883" s="5"/>
      <c r="I883" s="5"/>
      <c r="J883" s="5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5"/>
      <c r="H884" s="5"/>
      <c r="I884" s="5"/>
      <c r="J884" s="5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5"/>
      <c r="H885" s="5"/>
      <c r="I885" s="5"/>
      <c r="J885" s="5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5"/>
      <c r="H886" s="5"/>
      <c r="I886" s="5"/>
      <c r="J886" s="5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5"/>
      <c r="H887" s="5"/>
      <c r="I887" s="5"/>
      <c r="J887" s="5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5"/>
      <c r="H888" s="5"/>
      <c r="I888" s="5"/>
      <c r="J888" s="5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5"/>
      <c r="H889" s="5"/>
      <c r="I889" s="5"/>
      <c r="J889" s="5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5"/>
      <c r="H890" s="5"/>
      <c r="I890" s="5"/>
      <c r="J890" s="5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5"/>
      <c r="H891" s="5"/>
      <c r="I891" s="5"/>
      <c r="J891" s="5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5"/>
      <c r="H892" s="5"/>
      <c r="I892" s="5"/>
      <c r="J892" s="5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5"/>
      <c r="H893" s="5"/>
      <c r="I893" s="5"/>
      <c r="J893" s="5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5"/>
      <c r="H894" s="5"/>
      <c r="I894" s="5"/>
      <c r="J894" s="5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5"/>
      <c r="H895" s="5"/>
      <c r="I895" s="5"/>
      <c r="J895" s="5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5"/>
      <c r="H896" s="5"/>
      <c r="I896" s="5"/>
      <c r="J896" s="5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5"/>
      <c r="H897" s="5"/>
      <c r="I897" s="5"/>
      <c r="J897" s="5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5"/>
      <c r="H898" s="5"/>
      <c r="I898" s="5"/>
      <c r="J898" s="5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5"/>
      <c r="H899" s="5"/>
      <c r="I899" s="5"/>
      <c r="J899" s="5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5"/>
      <c r="H900" s="5"/>
      <c r="I900" s="5"/>
      <c r="J900" s="5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5"/>
      <c r="H901" s="5"/>
      <c r="I901" s="5"/>
      <c r="J901" s="5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5"/>
      <c r="H902" s="5"/>
      <c r="I902" s="5"/>
      <c r="J902" s="5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5"/>
      <c r="H903" s="5"/>
      <c r="I903" s="5"/>
      <c r="J903" s="5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5"/>
      <c r="H904" s="5"/>
      <c r="I904" s="5"/>
      <c r="J904" s="5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5"/>
      <c r="H905" s="5"/>
      <c r="I905" s="5"/>
      <c r="J905" s="5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5"/>
      <c r="H906" s="5"/>
      <c r="I906" s="5"/>
      <c r="J906" s="5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5"/>
      <c r="H907" s="5"/>
      <c r="I907" s="5"/>
      <c r="J907" s="5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5"/>
      <c r="H908" s="5"/>
      <c r="I908" s="5"/>
      <c r="J908" s="5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5"/>
      <c r="H909" s="5"/>
      <c r="I909" s="5"/>
      <c r="J909" s="5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5"/>
      <c r="H910" s="5"/>
      <c r="I910" s="5"/>
      <c r="J910" s="5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5"/>
      <c r="H911" s="5"/>
      <c r="I911" s="5"/>
      <c r="J911" s="5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5"/>
      <c r="H912" s="5"/>
      <c r="I912" s="5"/>
      <c r="J912" s="5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5"/>
      <c r="H913" s="5"/>
      <c r="I913" s="5"/>
      <c r="J913" s="5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5"/>
      <c r="H914" s="5"/>
      <c r="I914" s="5"/>
      <c r="J914" s="5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5"/>
      <c r="H915" s="5"/>
      <c r="I915" s="5"/>
      <c r="J915" s="5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5"/>
      <c r="H916" s="5"/>
      <c r="I916" s="5"/>
      <c r="J916" s="5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5"/>
      <c r="H917" s="5"/>
      <c r="I917" s="5"/>
      <c r="J917" s="5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5"/>
      <c r="H918" s="5"/>
      <c r="I918" s="5"/>
      <c r="J918" s="5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5"/>
      <c r="H919" s="5"/>
      <c r="I919" s="5"/>
      <c r="J919" s="5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5"/>
      <c r="H920" s="5"/>
      <c r="I920" s="5"/>
      <c r="J920" s="5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5"/>
      <c r="H921" s="5"/>
      <c r="I921" s="5"/>
      <c r="J921" s="5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5"/>
      <c r="H922" s="5"/>
      <c r="I922" s="5"/>
      <c r="J922" s="5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5"/>
      <c r="H923" s="5"/>
      <c r="I923" s="5"/>
      <c r="J923" s="5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5"/>
      <c r="H924" s="5"/>
      <c r="I924" s="5"/>
      <c r="J924" s="5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5"/>
      <c r="H925" s="5"/>
      <c r="I925" s="5"/>
      <c r="J925" s="5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5"/>
      <c r="H926" s="5"/>
      <c r="I926" s="5"/>
      <c r="J926" s="5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5"/>
      <c r="H927" s="5"/>
      <c r="I927" s="5"/>
      <c r="J927" s="5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5"/>
      <c r="H928" s="5"/>
      <c r="I928" s="5"/>
      <c r="J928" s="5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5"/>
      <c r="H929" s="5"/>
      <c r="I929" s="5"/>
      <c r="J929" s="5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5"/>
      <c r="H930" s="5"/>
      <c r="I930" s="5"/>
      <c r="J930" s="5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5"/>
      <c r="H931" s="5"/>
      <c r="I931" s="5"/>
      <c r="J931" s="5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5"/>
      <c r="H932" s="5"/>
      <c r="I932" s="5"/>
      <c r="J932" s="5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5"/>
      <c r="H933" s="5"/>
      <c r="I933" s="5"/>
      <c r="J933" s="5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5"/>
      <c r="H934" s="5"/>
      <c r="I934" s="5"/>
      <c r="J934" s="5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5"/>
      <c r="H935" s="5"/>
      <c r="I935" s="5"/>
      <c r="J935" s="5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5"/>
      <c r="H936" s="5"/>
      <c r="I936" s="5"/>
      <c r="J936" s="5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5"/>
      <c r="H937" s="5"/>
      <c r="I937" s="5"/>
      <c r="J937" s="5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5"/>
      <c r="H938" s="5"/>
      <c r="I938" s="5"/>
      <c r="J938" s="5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5"/>
      <c r="H939" s="5"/>
      <c r="I939" s="5"/>
      <c r="J939" s="5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5"/>
      <c r="H940" s="5"/>
      <c r="I940" s="5"/>
      <c r="J940" s="5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5"/>
      <c r="H941" s="5"/>
      <c r="I941" s="5"/>
      <c r="J941" s="5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5"/>
      <c r="H942" s="5"/>
      <c r="I942" s="5"/>
      <c r="J942" s="5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5"/>
      <c r="H943" s="5"/>
      <c r="I943" s="5"/>
      <c r="J943" s="5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5"/>
      <c r="H944" s="5"/>
      <c r="I944" s="5"/>
      <c r="J944" s="5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5"/>
      <c r="H945" s="5"/>
      <c r="I945" s="5"/>
      <c r="J945" s="5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5"/>
      <c r="H946" s="5"/>
      <c r="I946" s="5"/>
      <c r="J946" s="5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5"/>
      <c r="H947" s="5"/>
      <c r="I947" s="5"/>
      <c r="J947" s="5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5"/>
      <c r="H948" s="5"/>
      <c r="I948" s="5"/>
      <c r="J948" s="5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5"/>
      <c r="H949" s="5"/>
      <c r="I949" s="5"/>
      <c r="J949" s="5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5"/>
      <c r="H950" s="5"/>
      <c r="I950" s="5"/>
      <c r="J950" s="5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5"/>
      <c r="H951" s="5"/>
      <c r="I951" s="5"/>
      <c r="J951" s="5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5"/>
      <c r="H952" s="5"/>
      <c r="I952" s="5"/>
      <c r="J952" s="5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5"/>
      <c r="H953" s="5"/>
      <c r="I953" s="5"/>
      <c r="J953" s="5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5"/>
      <c r="H954" s="5"/>
      <c r="I954" s="5"/>
      <c r="J954" s="5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5"/>
      <c r="H955" s="5"/>
      <c r="I955" s="5"/>
      <c r="J955" s="5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5"/>
      <c r="H956" s="5"/>
      <c r="I956" s="5"/>
      <c r="J956" s="5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5"/>
      <c r="H957" s="5"/>
      <c r="I957" s="5"/>
      <c r="J957" s="5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5"/>
      <c r="H958" s="5"/>
      <c r="I958" s="5"/>
      <c r="J958" s="5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5"/>
      <c r="H959" s="5"/>
      <c r="I959" s="5"/>
      <c r="J959" s="5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5"/>
      <c r="H960" s="5"/>
      <c r="I960" s="5"/>
      <c r="J960" s="5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5"/>
      <c r="H961" s="5"/>
      <c r="I961" s="5"/>
      <c r="J961" s="5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5"/>
      <c r="H962" s="5"/>
      <c r="I962" s="5"/>
      <c r="J962" s="5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5"/>
      <c r="H963" s="5"/>
      <c r="I963" s="5"/>
      <c r="J963" s="5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5"/>
      <c r="H964" s="5"/>
      <c r="I964" s="5"/>
      <c r="J964" s="5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5"/>
      <c r="H965" s="5"/>
      <c r="I965" s="5"/>
      <c r="J965" s="5"/>
      <c r="K965" s="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5"/>
      <c r="H966" s="5"/>
      <c r="I966" s="5"/>
      <c r="J966" s="5"/>
      <c r="K966" s="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5"/>
      <c r="H967" s="5"/>
      <c r="I967" s="5"/>
      <c r="J967" s="5"/>
      <c r="K967" s="5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5"/>
      <c r="H968" s="5"/>
      <c r="I968" s="5"/>
      <c r="J968" s="5"/>
      <c r="K968" s="5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5"/>
      <c r="H969" s="5"/>
      <c r="I969" s="5"/>
      <c r="J969" s="5"/>
      <c r="K969" s="5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5"/>
      <c r="H970" s="5"/>
      <c r="I970" s="5"/>
      <c r="J970" s="5"/>
      <c r="K970" s="5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5"/>
      <c r="H971" s="5"/>
      <c r="I971" s="5"/>
      <c r="J971" s="5"/>
      <c r="K971" s="5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5"/>
      <c r="H972" s="5"/>
      <c r="I972" s="5"/>
      <c r="J972" s="5"/>
      <c r="K972" s="5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5"/>
      <c r="H973" s="5"/>
      <c r="I973" s="5"/>
      <c r="J973" s="5"/>
      <c r="K973" s="5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5"/>
      <c r="H974" s="5"/>
      <c r="I974" s="5"/>
      <c r="J974" s="5"/>
      <c r="K974" s="5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5"/>
      <c r="H975" s="5"/>
      <c r="I975" s="5"/>
      <c r="J975" s="5"/>
      <c r="K975" s="5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5"/>
      <c r="H976" s="5"/>
      <c r="I976" s="5"/>
      <c r="J976" s="5"/>
      <c r="K976" s="5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5"/>
      <c r="H977" s="5"/>
      <c r="I977" s="5"/>
      <c r="J977" s="5"/>
      <c r="K977" s="5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5"/>
      <c r="H978" s="5"/>
      <c r="I978" s="5"/>
      <c r="J978" s="5"/>
      <c r="K978" s="5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5"/>
      <c r="H979" s="5"/>
      <c r="I979" s="5"/>
      <c r="J979" s="5"/>
      <c r="K979" s="5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5"/>
      <c r="H980" s="5"/>
      <c r="I980" s="5"/>
      <c r="J980" s="5"/>
      <c r="K980" s="5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5"/>
      <c r="H981" s="5"/>
      <c r="I981" s="5"/>
      <c r="J981" s="5"/>
      <c r="K981" s="5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5"/>
      <c r="H982" s="5"/>
      <c r="I982" s="5"/>
      <c r="J982" s="5"/>
      <c r="K982" s="5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5"/>
      <c r="H983" s="5"/>
      <c r="I983" s="5"/>
      <c r="J983" s="5"/>
      <c r="K983" s="5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5"/>
      <c r="H984" s="5"/>
      <c r="I984" s="5"/>
      <c r="J984" s="5"/>
      <c r="K984" s="5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5"/>
      <c r="H985" s="5"/>
      <c r="I985" s="5"/>
      <c r="J985" s="5"/>
      <c r="K985" s="5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5"/>
      <c r="H986" s="5"/>
      <c r="I986" s="5"/>
      <c r="J986" s="5"/>
      <c r="K986" s="5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5"/>
      <c r="H987" s="5"/>
      <c r="I987" s="5"/>
      <c r="J987" s="5"/>
      <c r="K987" s="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5"/>
      <c r="H988" s="5"/>
      <c r="I988" s="5"/>
      <c r="J988" s="5"/>
      <c r="K988" s="5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5"/>
      <c r="H989" s="5"/>
      <c r="I989" s="5"/>
      <c r="J989" s="5"/>
      <c r="K989" s="5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5"/>
      <c r="H990" s="5"/>
      <c r="I990" s="5"/>
      <c r="J990" s="5"/>
      <c r="K990" s="5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5"/>
      <c r="H991" s="5"/>
      <c r="I991" s="5"/>
      <c r="J991" s="5"/>
      <c r="K991" s="5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5"/>
      <c r="H992" s="5"/>
      <c r="I992" s="5"/>
      <c r="J992" s="5"/>
      <c r="K992" s="5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5"/>
      <c r="H993" s="5"/>
      <c r="I993" s="5"/>
      <c r="J993" s="5"/>
      <c r="K993" s="5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5"/>
      <c r="H994" s="5"/>
      <c r="I994" s="5"/>
      <c r="J994" s="5"/>
      <c r="K994" s="5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5"/>
      <c r="H995" s="5"/>
      <c r="I995" s="5"/>
      <c r="J995" s="5"/>
      <c r="K995" s="5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5"/>
      <c r="H996" s="5"/>
      <c r="I996" s="5"/>
      <c r="J996" s="5"/>
      <c r="K996" s="5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5"/>
      <c r="H997" s="5"/>
      <c r="I997" s="5"/>
      <c r="J997" s="5"/>
      <c r="K997" s="5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5"/>
      <c r="H998" s="5"/>
      <c r="I998" s="5"/>
      <c r="J998" s="5"/>
      <c r="K998" s="5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5"/>
      <c r="H999" s="5"/>
      <c r="I999" s="5"/>
      <c r="J999" s="5"/>
      <c r="K999" s="5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5"/>
      <c r="H1000" s="5"/>
      <c r="I1000" s="5"/>
      <c r="J1000" s="5"/>
      <c r="K1000" s="5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1.14"/>
    <col customWidth="1" min="3" max="3" width="33.71"/>
    <col customWidth="1" min="4" max="4" width="14.14"/>
    <col customWidth="1" min="5" max="5" width="62.14"/>
    <col customWidth="1" min="6" max="6" width="21.14"/>
    <col customWidth="1" min="7" max="8" width="21.57"/>
    <col customWidth="1" min="9" max="15" width="15.29"/>
    <col customWidth="1" min="16" max="16" width="18.86"/>
    <col customWidth="1" min="17" max="17" width="14.43"/>
    <col customWidth="1" min="18" max="18" width="13.57"/>
    <col customWidth="1" min="19" max="28" width="10.71"/>
  </cols>
  <sheetData>
    <row r="1" ht="12.75" customHeight="1">
      <c r="A1" s="16" t="s">
        <v>199</v>
      </c>
      <c r="B1" s="16" t="s">
        <v>200</v>
      </c>
      <c r="C1" s="16" t="s">
        <v>201</v>
      </c>
      <c r="D1" s="16" t="s">
        <v>202</v>
      </c>
      <c r="E1" s="17"/>
      <c r="J1" s="17"/>
      <c r="K1" s="17"/>
      <c r="L1" s="17"/>
      <c r="M1" s="17"/>
      <c r="N1" s="17"/>
      <c r="O1" s="18"/>
      <c r="P1" s="17"/>
      <c r="Q1" s="17"/>
      <c r="R1" s="17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ht="12.75" customHeight="1">
      <c r="A2" s="16" t="s">
        <v>36</v>
      </c>
      <c r="B2" s="16" t="s">
        <v>203</v>
      </c>
      <c r="C2" s="20" t="s">
        <v>204</v>
      </c>
      <c r="D2" s="21">
        <v>2183.0</v>
      </c>
      <c r="E2" s="19"/>
      <c r="J2" s="22"/>
      <c r="K2" s="22"/>
      <c r="L2" s="19"/>
      <c r="M2" s="19"/>
      <c r="N2" s="19"/>
      <c r="O2" s="23"/>
      <c r="P2" s="19"/>
      <c r="Q2" s="22"/>
      <c r="R2" s="22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12.75" customHeight="1">
      <c r="A3" s="24" t="s">
        <v>38</v>
      </c>
      <c r="B3" s="24" t="s">
        <v>205</v>
      </c>
      <c r="C3" s="25" t="s">
        <v>206</v>
      </c>
      <c r="D3" s="21">
        <v>638.0</v>
      </c>
      <c r="E3" s="19"/>
      <c r="J3" s="22"/>
      <c r="K3" s="22"/>
      <c r="L3" s="19"/>
      <c r="M3" s="19"/>
      <c r="N3" s="19"/>
      <c r="O3" s="23"/>
      <c r="P3" s="19"/>
      <c r="Q3" s="22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ht="12.75" customHeight="1">
      <c r="A4" s="16" t="s">
        <v>28</v>
      </c>
      <c r="B4" s="16" t="s">
        <v>207</v>
      </c>
      <c r="C4" s="21" t="s">
        <v>208</v>
      </c>
      <c r="D4" s="21">
        <v>900.0</v>
      </c>
      <c r="E4" s="19"/>
      <c r="J4" s="22"/>
      <c r="K4" s="22"/>
      <c r="L4" s="19"/>
      <c r="M4" s="19"/>
      <c r="N4" s="19"/>
      <c r="O4" s="23"/>
      <c r="P4" s="19"/>
      <c r="Q4" s="22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12.75" customHeight="1">
      <c r="A5" s="16" t="s">
        <v>118</v>
      </c>
      <c r="B5" s="16" t="s">
        <v>209</v>
      </c>
      <c r="C5" s="21" t="s">
        <v>210</v>
      </c>
      <c r="D5" s="21">
        <v>1417.0</v>
      </c>
      <c r="E5" s="19"/>
      <c r="J5" s="19"/>
      <c r="K5" s="19"/>
      <c r="L5" s="19"/>
      <c r="M5" s="19"/>
      <c r="N5" s="19"/>
      <c r="O5" s="23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ht="12.75" customHeight="1">
      <c r="A6" s="16"/>
      <c r="B6" s="16" t="s">
        <v>211</v>
      </c>
      <c r="C6" s="16" t="s">
        <v>212</v>
      </c>
      <c r="D6" s="21">
        <v>50.0</v>
      </c>
      <c r="E6" s="19"/>
      <c r="J6" s="19"/>
      <c r="K6" s="19"/>
      <c r="L6" s="19"/>
      <c r="M6" s="19"/>
      <c r="N6" s="19"/>
      <c r="O6" s="23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ht="12.75" customHeight="1">
      <c r="A7" s="26" t="s">
        <v>11</v>
      </c>
      <c r="B7" s="27"/>
      <c r="C7" s="28"/>
      <c r="D7" s="29">
        <f>SUM(D2:D6)</f>
        <v>5188</v>
      </c>
      <c r="E7" s="19"/>
      <c r="F7" s="17"/>
      <c r="G7" s="17"/>
      <c r="H7" s="17"/>
      <c r="I7" s="19"/>
      <c r="J7" s="19"/>
      <c r="K7" s="19"/>
      <c r="L7" s="19"/>
      <c r="M7" s="19"/>
      <c r="N7" s="19"/>
      <c r="O7" s="23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t="12.75" customHeight="1">
      <c r="A8" s="19"/>
      <c r="B8" s="19"/>
      <c r="C8" s="19"/>
      <c r="D8" s="19"/>
      <c r="E8" s="19"/>
      <c r="F8" s="17"/>
      <c r="G8" s="17"/>
      <c r="H8" s="17"/>
      <c r="I8" s="22"/>
      <c r="J8" s="19"/>
      <c r="K8" s="22"/>
      <c r="L8" s="19"/>
      <c r="M8" s="19"/>
      <c r="N8" s="19"/>
      <c r="O8" s="23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ht="12.75" customHeight="1">
      <c r="A9" s="19"/>
      <c r="B9" s="19"/>
      <c r="C9" s="19"/>
      <c r="D9" s="19"/>
      <c r="E9" s="19"/>
      <c r="F9" s="17"/>
      <c r="G9" s="17"/>
      <c r="H9" s="17"/>
      <c r="I9" s="22"/>
      <c r="J9" s="19"/>
      <c r="K9" s="22"/>
      <c r="L9" s="19"/>
      <c r="M9" s="19"/>
      <c r="N9" s="19"/>
      <c r="O9" s="23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2.75" customHeight="1">
      <c r="A10" s="19"/>
      <c r="B10" s="19"/>
      <c r="C10" s="19"/>
      <c r="D10" s="19"/>
      <c r="E10" s="19"/>
      <c r="F10" s="17"/>
      <c r="G10" s="17"/>
      <c r="H10" s="17"/>
      <c r="I10" s="22"/>
      <c r="J10" s="19"/>
      <c r="K10" s="22"/>
      <c r="L10" s="19"/>
      <c r="M10" s="19"/>
      <c r="N10" s="19"/>
      <c r="O10" s="23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ht="12.75" customHeight="1">
      <c r="A11" s="19"/>
      <c r="B11" s="19"/>
      <c r="C11" s="19"/>
      <c r="D11" s="19"/>
      <c r="E11" s="19"/>
      <c r="F11" s="17"/>
      <c r="G11" s="17"/>
      <c r="H11" s="17"/>
      <c r="I11" s="22"/>
      <c r="J11" s="19"/>
      <c r="K11" s="22"/>
      <c r="L11" s="19"/>
      <c r="M11" s="19"/>
      <c r="N11" s="19"/>
      <c r="O11" s="23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ht="12.75" customHeight="1">
      <c r="A12" s="19"/>
      <c r="B12" s="19"/>
      <c r="C12" s="19"/>
      <c r="D12" s="19"/>
      <c r="E12" s="19"/>
      <c r="F12" s="17"/>
      <c r="G12" s="17"/>
      <c r="H12" s="17"/>
      <c r="I12" s="22"/>
      <c r="J12" s="19"/>
      <c r="K12" s="22"/>
      <c r="L12" s="19"/>
      <c r="M12" s="19"/>
      <c r="N12" s="19"/>
      <c r="O12" s="23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ht="12.75" customHeight="1">
      <c r="A13" s="19"/>
      <c r="B13" s="19"/>
      <c r="C13" s="19"/>
      <c r="D13" s="19"/>
      <c r="E13" s="19"/>
      <c r="F13" s="17"/>
      <c r="G13" s="17"/>
      <c r="H13" s="17"/>
      <c r="I13" s="22"/>
      <c r="J13" s="19"/>
      <c r="K13" s="22"/>
      <c r="L13" s="19"/>
      <c r="M13" s="19"/>
      <c r="N13" s="19"/>
      <c r="O13" s="23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ht="12.75" customHeight="1">
      <c r="A14" s="19"/>
      <c r="B14" s="19"/>
      <c r="C14" s="19"/>
      <c r="D14" s="19"/>
      <c r="E14" s="22"/>
      <c r="F14" s="19"/>
      <c r="G14" s="19"/>
      <c r="H14" s="19"/>
      <c r="I14" s="22"/>
      <c r="J14" s="19"/>
      <c r="K14" s="22"/>
      <c r="L14" s="19"/>
      <c r="M14" s="19"/>
      <c r="N14" s="19"/>
      <c r="O14" s="23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ht="12.75" customHeight="1">
      <c r="A15" s="19"/>
      <c r="B15" s="19"/>
      <c r="C15" s="19"/>
      <c r="D15" s="30"/>
      <c r="E15" s="22"/>
      <c r="F15" s="19"/>
      <c r="G15" s="19"/>
      <c r="H15" s="19"/>
      <c r="I15" s="22"/>
      <c r="J15" s="19"/>
      <c r="K15" s="22"/>
      <c r="L15" s="19"/>
      <c r="M15" s="19"/>
      <c r="N15" s="19"/>
      <c r="O15" s="23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ht="12.75" customHeight="1">
      <c r="A16" s="19"/>
      <c r="B16" s="19"/>
      <c r="C16" s="19"/>
      <c r="D16" s="19"/>
      <c r="E16" s="22"/>
      <c r="F16" s="19"/>
      <c r="G16" s="19"/>
      <c r="H16" s="19"/>
      <c r="I16" s="22"/>
      <c r="J16" s="19"/>
      <c r="K16" s="22"/>
      <c r="L16" s="19"/>
      <c r="M16" s="19"/>
      <c r="N16" s="19"/>
      <c r="O16" s="23"/>
      <c r="P16" s="19"/>
      <c r="Q16" s="22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ht="12.75" customHeight="1">
      <c r="A17" s="19"/>
      <c r="B17" s="19"/>
      <c r="C17" s="19"/>
      <c r="D17" s="19"/>
      <c r="E17" s="19"/>
      <c r="F17" s="19"/>
      <c r="G17" s="19"/>
      <c r="H17" s="19"/>
      <c r="I17" s="22"/>
      <c r="J17" s="19"/>
      <c r="K17" s="22"/>
      <c r="L17" s="19"/>
      <c r="M17" s="19"/>
      <c r="N17" s="19"/>
      <c r="O17" s="23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ht="12.75" customHeight="1">
      <c r="A18" s="19"/>
      <c r="B18" s="22"/>
      <c r="C18" s="19"/>
      <c r="D18" s="19"/>
      <c r="E18" s="22"/>
      <c r="F18" s="22"/>
      <c r="G18" s="22"/>
      <c r="H18" s="22"/>
      <c r="I18" s="22"/>
      <c r="J18" s="19"/>
      <c r="K18" s="19"/>
      <c r="L18" s="19"/>
      <c r="M18" s="22"/>
      <c r="N18" s="19"/>
      <c r="O18" s="23"/>
      <c r="P18" s="19"/>
      <c r="Q18" s="22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ht="12.75" customHeight="1">
      <c r="A19" s="19"/>
      <c r="B19" s="22"/>
      <c r="C19" s="19"/>
      <c r="D19" s="19"/>
      <c r="E19" s="22"/>
      <c r="F19" s="22"/>
      <c r="G19" s="22"/>
      <c r="H19" s="22"/>
      <c r="I19" s="22"/>
      <c r="J19" s="19"/>
      <c r="K19" s="19"/>
      <c r="L19" s="19"/>
      <c r="M19" s="22"/>
      <c r="N19" s="19"/>
      <c r="O19" s="23"/>
      <c r="P19" s="19"/>
      <c r="Q19" s="22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ht="12.75" customHeight="1">
      <c r="A20" s="19"/>
      <c r="B20" s="22"/>
      <c r="C20" s="19"/>
      <c r="D20" s="19"/>
      <c r="E20" s="22"/>
      <c r="F20" s="22"/>
      <c r="G20" s="22"/>
      <c r="H20" s="22"/>
      <c r="I20" s="22"/>
      <c r="J20" s="19"/>
      <c r="K20" s="19"/>
      <c r="L20" s="19"/>
      <c r="M20" s="22"/>
      <c r="N20" s="19"/>
      <c r="O20" s="23"/>
      <c r="P20" s="19"/>
      <c r="Q20" s="22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ht="12.75" customHeight="1">
      <c r="A21" s="19"/>
      <c r="B21" s="22"/>
      <c r="C21" s="19"/>
      <c r="D21" s="19"/>
      <c r="E21" s="22"/>
      <c r="F21" s="22"/>
      <c r="G21" s="22"/>
      <c r="H21" s="22"/>
      <c r="I21" s="22"/>
      <c r="J21" s="19"/>
      <c r="K21" s="19"/>
      <c r="L21" s="19"/>
      <c r="M21" s="22"/>
      <c r="N21" s="19"/>
      <c r="O21" s="23"/>
      <c r="P21" s="19"/>
      <c r="Q21" s="22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t="12.75" customHeight="1">
      <c r="A22" s="19"/>
      <c r="B22" s="22"/>
      <c r="C22" s="19"/>
      <c r="D22" s="19"/>
      <c r="E22" s="22"/>
      <c r="F22" s="22"/>
      <c r="G22" s="22"/>
      <c r="H22" s="22"/>
      <c r="I22" s="22"/>
      <c r="J22" s="19"/>
      <c r="K22" s="19"/>
      <c r="L22" s="19"/>
      <c r="M22" s="22"/>
      <c r="N22" s="19"/>
      <c r="O22" s="23"/>
      <c r="P22" s="19"/>
      <c r="Q22" s="22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ht="12.75" customHeight="1">
      <c r="A23" s="19"/>
      <c r="B23" s="22"/>
      <c r="C23" s="19"/>
      <c r="D23" s="19"/>
      <c r="E23" s="22"/>
      <c r="F23" s="22"/>
      <c r="G23" s="22"/>
      <c r="H23" s="22"/>
      <c r="I23" s="22"/>
      <c r="J23" s="19"/>
      <c r="K23" s="19"/>
      <c r="L23" s="19"/>
      <c r="M23" s="22"/>
      <c r="N23" s="19"/>
      <c r="O23" s="23"/>
      <c r="P23" s="19"/>
      <c r="Q23" s="22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ht="12.75" customHeight="1">
      <c r="A24" s="19"/>
      <c r="B24" s="22"/>
      <c r="C24" s="19"/>
      <c r="D24" s="19"/>
      <c r="E24" s="22"/>
      <c r="F24" s="22"/>
      <c r="G24" s="22"/>
      <c r="H24" s="22"/>
      <c r="I24" s="19"/>
      <c r="J24" s="19"/>
      <c r="K24" s="22"/>
      <c r="L24" s="19"/>
      <c r="M24" s="22"/>
      <c r="N24" s="19"/>
      <c r="O24" s="23"/>
      <c r="P24" s="19"/>
      <c r="Q24" s="22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2.75" customHeight="1">
      <c r="A25" s="19"/>
      <c r="B25" s="22"/>
      <c r="C25" s="19"/>
      <c r="D25" s="19"/>
      <c r="E25" s="22"/>
      <c r="F25" s="22"/>
      <c r="G25" s="22"/>
      <c r="H25" s="22"/>
      <c r="I25" s="19"/>
      <c r="J25" s="19"/>
      <c r="K25" s="22"/>
      <c r="L25" s="19"/>
      <c r="M25" s="22"/>
      <c r="N25" s="19"/>
      <c r="O25" s="23"/>
      <c r="P25" s="19"/>
      <c r="Q25" s="22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12.75" customHeight="1">
      <c r="A26" s="19"/>
      <c r="B26" s="22"/>
      <c r="C26" s="19"/>
      <c r="D26" s="19"/>
      <c r="E26" s="22"/>
      <c r="F26" s="22"/>
      <c r="G26" s="22"/>
      <c r="H26" s="22"/>
      <c r="I26" s="19"/>
      <c r="J26" s="19"/>
      <c r="K26" s="22"/>
      <c r="L26" s="19"/>
      <c r="M26" s="22"/>
      <c r="N26" s="19"/>
      <c r="O26" s="23"/>
      <c r="P26" s="19"/>
      <c r="Q26" s="22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12.75" customHeight="1">
      <c r="A27" s="19"/>
      <c r="B27" s="22"/>
      <c r="C27" s="19"/>
      <c r="D27" s="19"/>
      <c r="E27" s="22"/>
      <c r="F27" s="22"/>
      <c r="G27" s="22"/>
      <c r="H27" s="22"/>
      <c r="I27" s="19"/>
      <c r="J27" s="19"/>
      <c r="K27" s="22"/>
      <c r="L27" s="19"/>
      <c r="M27" s="22"/>
      <c r="N27" s="19"/>
      <c r="O27" s="23"/>
      <c r="P27" s="19"/>
      <c r="Q27" s="22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ht="12.75" customHeight="1">
      <c r="A28" s="19"/>
      <c r="B28" s="22"/>
      <c r="C28" s="19"/>
      <c r="D28" s="19"/>
      <c r="E28" s="22"/>
      <c r="F28" s="22"/>
      <c r="G28" s="22"/>
      <c r="H28" s="22"/>
      <c r="I28" s="19"/>
      <c r="J28" s="19"/>
      <c r="K28" s="22"/>
      <c r="L28" s="19"/>
      <c r="M28" s="22"/>
      <c r="N28" s="19"/>
      <c r="O28" s="23"/>
      <c r="P28" s="19"/>
      <c r="Q28" s="22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12.75" customHeight="1">
      <c r="A29" s="19"/>
      <c r="B29" s="22"/>
      <c r="C29" s="19"/>
      <c r="D29" s="19"/>
      <c r="E29" s="22"/>
      <c r="F29" s="22"/>
      <c r="G29" s="22"/>
      <c r="H29" s="22"/>
      <c r="I29" s="19"/>
      <c r="J29" s="19"/>
      <c r="K29" s="22"/>
      <c r="L29" s="19"/>
      <c r="M29" s="22"/>
      <c r="N29" s="19"/>
      <c r="O29" s="23"/>
      <c r="P29" s="19"/>
      <c r="Q29" s="22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t="12.75" customHeight="1">
      <c r="A30" s="19"/>
      <c r="B30" s="22"/>
      <c r="C30" s="19"/>
      <c r="D30" s="19"/>
      <c r="E30" s="22"/>
      <c r="F30" s="22"/>
      <c r="G30" s="22"/>
      <c r="H30" s="22"/>
      <c r="I30" s="19"/>
      <c r="J30" s="19"/>
      <c r="K30" s="22"/>
      <c r="L30" s="19"/>
      <c r="M30" s="22"/>
      <c r="N30" s="19"/>
      <c r="O30" s="23"/>
      <c r="P30" s="19"/>
      <c r="Q30" s="22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ht="12.75" customHeight="1">
      <c r="A31" s="19"/>
      <c r="B31" s="22"/>
      <c r="C31" s="19"/>
      <c r="D31" s="19"/>
      <c r="E31" s="19"/>
      <c r="F31" s="22"/>
      <c r="G31" s="22"/>
      <c r="H31" s="22"/>
      <c r="I31" s="19"/>
      <c r="J31" s="19"/>
      <c r="K31" s="19"/>
      <c r="L31" s="22"/>
      <c r="M31" s="19"/>
      <c r="N31" s="19"/>
      <c r="O31" s="23"/>
      <c r="P31" s="19"/>
      <c r="Q31" s="22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2.75" customHeight="1">
      <c r="A32" s="19"/>
      <c r="B32" s="22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3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ht="12.75" customHeight="1">
      <c r="A33" s="19"/>
      <c r="B33" s="22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3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ht="12.75" customHeight="1">
      <c r="A34" s="19"/>
      <c r="B34" s="22"/>
      <c r="C34" s="19"/>
      <c r="D34" s="19"/>
      <c r="E34" s="22"/>
      <c r="F34" s="22"/>
      <c r="G34" s="22"/>
      <c r="H34" s="22"/>
      <c r="I34" s="19"/>
      <c r="J34" s="19"/>
      <c r="K34" s="19"/>
      <c r="L34" s="19"/>
      <c r="M34" s="19"/>
      <c r="N34" s="19"/>
      <c r="O34" s="23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ht="12.75" customHeight="1">
      <c r="A35" s="19"/>
      <c r="B35" s="22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3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ht="12.75" customHeight="1">
      <c r="A36" s="19"/>
      <c r="B36" s="22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3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ht="12.75" customHeight="1">
      <c r="A37" s="19"/>
      <c r="B37" s="22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3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2.75" customHeight="1">
      <c r="A38" s="19"/>
      <c r="B38" s="22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3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ht="12.75" customHeight="1">
      <c r="A39" s="19"/>
      <c r="B39" s="22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3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ht="12.75" customHeight="1">
      <c r="A40" s="19"/>
      <c r="B40" s="22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3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12.75" customHeight="1">
      <c r="A41" s="19"/>
      <c r="B41" s="22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3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ht="12.75" customHeight="1">
      <c r="A42" s="19"/>
      <c r="B42" s="22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3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ht="12.75" customHeight="1">
      <c r="A43" s="19"/>
      <c r="B43" s="22"/>
      <c r="C43" s="19"/>
      <c r="D43" s="19"/>
      <c r="E43" s="22"/>
      <c r="F43" s="19"/>
      <c r="G43" s="19"/>
      <c r="H43" s="19"/>
      <c r="I43" s="19"/>
      <c r="J43" s="19"/>
      <c r="K43" s="19"/>
      <c r="L43" s="19"/>
      <c r="M43" s="19"/>
      <c r="N43" s="19"/>
      <c r="O43" s="23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ht="12.75" customHeight="1">
      <c r="A44" s="19"/>
      <c r="B44" s="22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3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ht="12.75" customHeight="1">
      <c r="A45" s="19"/>
      <c r="B45" s="22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3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2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3"/>
      <c r="P46" s="19"/>
      <c r="Q46" s="22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3"/>
      <c r="P47" s="19"/>
      <c r="Q47" s="22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3"/>
      <c r="P48" s="19"/>
      <c r="Q48" s="22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3"/>
      <c r="P49" s="19"/>
      <c r="Q49" s="22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23"/>
      <c r="P50" s="19"/>
      <c r="Q50" s="22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3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23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23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3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3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23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3"/>
      <c r="P57" s="19"/>
      <c r="Q57" s="22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3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3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3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3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3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23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3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23"/>
      <c r="P65" s="19"/>
      <c r="Q65" s="22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23"/>
      <c r="P66" s="19"/>
      <c r="Q66" s="22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23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23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3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3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3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3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3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23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23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23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23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3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23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</sheetData>
  <mergeCells count="1">
    <mergeCell ref="A7:C7"/>
  </mergeCells>
  <drawing r:id="rId1"/>
</worksheet>
</file>